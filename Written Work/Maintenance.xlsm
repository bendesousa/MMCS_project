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toddh\MMCS\Project\"/>
    </mc:Choice>
  </mc:AlternateContent>
  <xr:revisionPtr revIDLastSave="0" documentId="13_ncr:1_{69D972F4-3383-4C64-9409-396AF53D57CF}" xr6:coauthVersionLast="47" xr6:coauthVersionMax="47" xr10:uidLastSave="{00000000-0000-0000-0000-000000000000}"/>
  <bookViews>
    <workbookView xWindow="-110" yWindow="-110" windowWidth="19420" windowHeight="11500" xr2:uid="{5651B170-51A4-4E60-A325-DE6A5173F104}"/>
  </bookViews>
  <sheets>
    <sheet name="Dashboard" sheetId="7" r:id="rId1"/>
    <sheet name="Bike Stations" sheetId="1" r:id="rId2"/>
    <sheet name="Maintenance Schedule" sheetId="8" r:id="rId3"/>
    <sheet name="Maintenance Activities" sheetId="2" r:id="rId4"/>
    <sheet name="Maintenance Calculations" sheetId="3" r:id="rId5"/>
    <sheet name="Pivot" sheetId="6" r:id="rId6"/>
  </sheets>
  <definedNames>
    <definedName name="Slicer___Bikes">#N/A</definedName>
    <definedName name="Slicer_Annual_Maintenance__hours">#N/A</definedName>
    <definedName name="Slicer_Biannual_Maintenance__hours">#N/A</definedName>
    <definedName name="Slicer_Monthly_Maintenance__hours">#N/A</definedName>
    <definedName name="Slicer_Station_Name">#N/A</definedName>
    <definedName name="Slicer_Station_Name1">#N/A</definedName>
    <definedName name="Slicer_Total_Maintenance_Time__hours">#N/A</definedName>
    <definedName name="Slicer_Weekly_Maintenance__hours">#N/A</definedName>
  </definedNames>
  <calcPr calcId="191029"/>
  <pivotCaches>
    <pivotCache cacheId="0" r:id="rId7"/>
    <pivotCache cacheId="10" r:id="rId8"/>
  </pivotCaches>
  <extLst>
    <ext xmlns:x14="http://schemas.microsoft.com/office/spreadsheetml/2009/9/main" uri="{BBE1A952-AA13-448e-AADC-164F8A28A991}">
      <x14:slicerCaches>
        <x14:slicerCache r:id="rId9"/>
        <x14:slicerCache r:id="rId10"/>
        <x14:slicerCache r:id="rId11"/>
        <x14:slicerCache r:id="rId12"/>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 i="3" l="1"/>
  <c r="D8" i="3"/>
  <c r="D9" i="3"/>
  <c r="D16" i="3"/>
  <c r="C20" i="3"/>
  <c r="E21" i="3"/>
  <c r="E22" i="3"/>
  <c r="C23" i="3"/>
  <c r="C30" i="3"/>
  <c r="C33" i="3"/>
  <c r="E34" i="3"/>
  <c r="E35" i="3"/>
  <c r="E40" i="3"/>
  <c r="B43" i="3"/>
  <c r="B44" i="3"/>
  <c r="E45" i="3"/>
  <c r="E46" i="3"/>
  <c r="E47" i="3"/>
  <c r="E53" i="3"/>
  <c r="E54" i="3"/>
  <c r="E56" i="3"/>
  <c r="D58" i="3"/>
  <c r="E67" i="3"/>
  <c r="D68" i="3"/>
  <c r="D69" i="3"/>
  <c r="E70" i="3"/>
  <c r="C77" i="3"/>
  <c r="C78" i="3"/>
  <c r="C80" i="3"/>
  <c r="D82" i="3"/>
  <c r="D83" i="3"/>
  <c r="C84" i="3"/>
  <c r="D88" i="3"/>
  <c r="D89" i="3"/>
  <c r="B91" i="3"/>
  <c r="E93" i="3"/>
  <c r="B94" i="3"/>
  <c r="B95" i="3"/>
  <c r="C102" i="3"/>
  <c r="E103" i="3"/>
  <c r="D104" i="3"/>
  <c r="E105" i="3"/>
  <c r="D106" i="3"/>
  <c r="D107" i="3"/>
  <c r="C109" i="3"/>
  <c r="B113" i="3"/>
  <c r="B114" i="3"/>
  <c r="E116" i="3"/>
  <c r="C118" i="3"/>
  <c r="C119" i="3"/>
  <c r="E124" i="3"/>
  <c r="C128" i="3"/>
  <c r="E129" i="3"/>
  <c r="B130" i="3"/>
  <c r="E131" i="3"/>
  <c r="D138" i="3"/>
  <c r="C140" i="3"/>
  <c r="B141" i="3"/>
  <c r="C142" i="3"/>
  <c r="D143" i="3"/>
  <c r="E150" i="3"/>
  <c r="B152" i="3"/>
  <c r="D155" i="3"/>
  <c r="D161" i="3"/>
  <c r="E162" i="3"/>
  <c r="E163" i="3"/>
  <c r="E164" i="3"/>
  <c r="C167" i="3"/>
  <c r="B174" i="3"/>
  <c r="E175" i="3"/>
  <c r="D176" i="3"/>
  <c r="D177" i="3"/>
  <c r="E178" i="3"/>
  <c r="B179" i="3"/>
  <c r="C181" i="3"/>
  <c r="B190" i="3"/>
  <c r="B191" i="3"/>
  <c r="D197" i="3"/>
  <c r="B200" i="3"/>
  <c r="E201" i="3"/>
  <c r="E202" i="3"/>
  <c r="D203" i="3"/>
  <c r="B204" i="3"/>
  <c r="E211" i="3"/>
  <c r="E212" i="3"/>
  <c r="E213" i="3"/>
  <c r="E214" i="3"/>
  <c r="B215" i="3"/>
  <c r="E217" i="3"/>
  <c r="B222" i="3"/>
  <c r="B223" i="3"/>
  <c r="C224" i="3"/>
  <c r="D226" i="3"/>
  <c r="D227" i="3"/>
  <c r="B233" i="3"/>
  <c r="D234" i="3"/>
  <c r="B235" i="3"/>
  <c r="E236" i="3"/>
  <c r="E237" i="3"/>
  <c r="E238" i="3"/>
  <c r="D239" i="3"/>
  <c r="C240" i="3"/>
  <c r="C241" i="3"/>
  <c r="B247" i="3"/>
  <c r="D248" i="3"/>
  <c r="E249" i="3"/>
  <c r="E250" i="3"/>
  <c r="C251" i="3"/>
  <c r="C249" i="3"/>
  <c r="D243" i="3"/>
  <c r="E210" i="3"/>
  <c r="D208" i="3"/>
  <c r="E200" i="3"/>
  <c r="B196" i="3"/>
  <c r="E195" i="3"/>
  <c r="C180" i="3"/>
  <c r="B172" i="3"/>
  <c r="D171" i="3"/>
  <c r="D162" i="3"/>
  <c r="E149" i="3"/>
  <c r="E148" i="3"/>
  <c r="B147" i="3"/>
  <c r="D137" i="3"/>
  <c r="C129" i="3"/>
  <c r="D124" i="3"/>
  <c r="B123" i="3"/>
  <c r="B111" i="3"/>
  <c r="E110" i="3"/>
  <c r="B104" i="3"/>
  <c r="C99" i="3"/>
  <c r="C92" i="3"/>
  <c r="E91" i="3"/>
  <c r="E90" i="3"/>
  <c r="E66" i="3"/>
  <c r="D65" i="3"/>
  <c r="D160" i="3"/>
  <c r="B63" i="3"/>
  <c r="E57" i="3"/>
  <c r="E55" i="3"/>
  <c r="E52" i="3"/>
  <c r="B51" i="3"/>
  <c r="D50" i="3"/>
  <c r="E38" i="3"/>
  <c r="D30" i="3"/>
  <c r="D28" i="3"/>
  <c r="D27" i="3"/>
  <c r="E18" i="3"/>
  <c r="D15" i="3"/>
  <c r="D6" i="3"/>
  <c r="C4" i="3"/>
  <c r="B248" i="3"/>
  <c r="C222" i="3"/>
  <c r="C220" i="3"/>
  <c r="D219" i="3"/>
  <c r="B201" i="3"/>
  <c r="D189" i="3"/>
  <c r="D188" i="3"/>
  <c r="E187" i="3"/>
  <c r="B185" i="3"/>
  <c r="D183" i="3"/>
  <c r="C159" i="3"/>
  <c r="B158" i="3"/>
  <c r="D140" i="3"/>
  <c r="C136" i="3"/>
  <c r="C135" i="3"/>
  <c r="E134" i="3"/>
  <c r="D125" i="3"/>
  <c r="C100" i="3"/>
  <c r="B77" i="3"/>
  <c r="B76" i="3"/>
  <c r="B75" i="3"/>
  <c r="B69" i="3"/>
  <c r="E68" i="3"/>
  <c r="C57" i="3"/>
  <c r="D44" i="3"/>
  <c r="E41" i="3"/>
  <c r="C39" i="3"/>
  <c r="E4" i="3"/>
  <c r="D3" i="3"/>
  <c r="D164" i="3"/>
  <c r="D152" i="3"/>
  <c r="C150" i="3"/>
  <c r="B148" i="3"/>
  <c r="C90" i="3"/>
  <c r="E81" i="3"/>
  <c r="D20" i="3"/>
  <c r="C18" i="3"/>
  <c r="C17" i="3"/>
  <c r="E9" i="3"/>
  <c r="C9" i="3"/>
  <c r="C58" i="3"/>
  <c r="C59" i="3"/>
  <c r="C68" i="3"/>
  <c r="C69" i="3"/>
  <c r="C116" i="3"/>
  <c r="C130" i="3"/>
  <c r="C131" i="3"/>
  <c r="C164" i="3"/>
  <c r="C177" i="3"/>
  <c r="C178" i="3"/>
  <c r="C179" i="3"/>
  <c r="C189" i="3"/>
  <c r="C190" i="3"/>
  <c r="C236" i="3"/>
  <c r="C237" i="3"/>
  <c r="C238" i="3"/>
  <c r="C239" i="3"/>
  <c r="C250" i="3"/>
  <c r="D57" i="3"/>
  <c r="D70" i="3"/>
  <c r="D71" i="3"/>
  <c r="D102" i="3"/>
  <c r="D129" i="3"/>
  <c r="D130" i="3"/>
  <c r="D131" i="3"/>
  <c r="D190" i="3"/>
  <c r="D191" i="3"/>
  <c r="D201" i="3"/>
  <c r="D202" i="3"/>
  <c r="D249" i="3"/>
  <c r="D250" i="3"/>
  <c r="D251" i="3"/>
  <c r="E23" i="3"/>
  <c r="E31" i="3"/>
  <c r="E39" i="3"/>
  <c r="E77" i="3"/>
  <c r="E80" i="3"/>
  <c r="E82" i="3"/>
  <c r="E83" i="3"/>
  <c r="E94" i="3"/>
  <c r="E142" i="3"/>
  <c r="E151" i="3"/>
  <c r="E153" i="3"/>
  <c r="E154" i="3"/>
  <c r="E189" i="3"/>
  <c r="E190" i="3"/>
  <c r="E191" i="3"/>
  <c r="E197" i="3"/>
  <c r="E198" i="3"/>
  <c r="E223" i="3"/>
  <c r="E224" i="3"/>
  <c r="E226" i="3"/>
  <c r="E227" i="3"/>
  <c r="E239" i="3"/>
  <c r="E248" i="3"/>
  <c r="B42" i="3"/>
  <c r="B46" i="3"/>
  <c r="B47" i="3"/>
  <c r="B58" i="3"/>
  <c r="B59" i="3"/>
  <c r="B117" i="3"/>
  <c r="B118" i="3"/>
  <c r="B119" i="3"/>
  <c r="B129" i="3"/>
  <c r="B176" i="3"/>
  <c r="B177" i="3"/>
  <c r="B178" i="3"/>
  <c r="B224" i="3"/>
  <c r="B225" i="3"/>
  <c r="B226" i="3"/>
  <c r="B227"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7" i="8"/>
  <c r="D16" i="8"/>
  <c r="D15" i="8"/>
  <c r="D14" i="8"/>
  <c r="D13" i="8"/>
  <c r="D12" i="8"/>
  <c r="D11" i="8"/>
  <c r="D10" i="8"/>
  <c r="D9" i="8"/>
  <c r="D8" i="8"/>
  <c r="D7" i="8"/>
  <c r="D6" i="8"/>
  <c r="D5" i="8"/>
  <c r="D4" i="8"/>
  <c r="D3" i="8"/>
  <c r="D2" i="8"/>
  <c r="A159" i="8"/>
  <c r="A160" i="8"/>
  <c r="A161" i="8"/>
  <c r="A158" i="8"/>
  <c r="A155" i="8"/>
  <c r="A156" i="8"/>
  <c r="A157" i="8"/>
  <c r="A154" i="8"/>
  <c r="A151" i="8"/>
  <c r="A152" i="8"/>
  <c r="A153" i="8"/>
  <c r="A150" i="8"/>
  <c r="A147" i="8"/>
  <c r="A148" i="8"/>
  <c r="A149" i="8"/>
  <c r="A146" i="8"/>
  <c r="A143" i="8"/>
  <c r="A144" i="8"/>
  <c r="A145" i="8"/>
  <c r="A142" i="8"/>
  <c r="A139" i="8"/>
  <c r="A140" i="8"/>
  <c r="A141" i="8"/>
  <c r="A138" i="8"/>
  <c r="A135" i="8"/>
  <c r="A136" i="8"/>
  <c r="A137" i="8"/>
  <c r="A134" i="8"/>
  <c r="A131" i="8"/>
  <c r="A132" i="8"/>
  <c r="A133" i="8"/>
  <c r="A130" i="8"/>
  <c r="A127" i="8"/>
  <c r="A128" i="8"/>
  <c r="A129" i="8"/>
  <c r="A126" i="8"/>
  <c r="A123" i="8"/>
  <c r="A124" i="8"/>
  <c r="A125" i="8"/>
  <c r="A122" i="8"/>
  <c r="A121" i="8"/>
  <c r="A120" i="8"/>
  <c r="A119" i="8"/>
  <c r="A118" i="8"/>
  <c r="A115" i="8"/>
  <c r="A116" i="8"/>
  <c r="A117" i="8"/>
  <c r="A114" i="8"/>
  <c r="A113" i="8"/>
  <c r="A111" i="8"/>
  <c r="A112" i="8"/>
  <c r="A110" i="8"/>
  <c r="A107" i="8"/>
  <c r="A108" i="8"/>
  <c r="A109" i="8"/>
  <c r="A106" i="8"/>
  <c r="A103" i="8"/>
  <c r="A104" i="8"/>
  <c r="A105" i="8"/>
  <c r="A102" i="8"/>
  <c r="A99" i="8"/>
  <c r="A100" i="8"/>
  <c r="A101" i="8"/>
  <c r="A98" i="8"/>
  <c r="A95" i="8"/>
  <c r="A96" i="8"/>
  <c r="A97" i="8"/>
  <c r="A94" i="8"/>
  <c r="A91" i="8"/>
  <c r="A92" i="8"/>
  <c r="A93" i="8"/>
  <c r="A90" i="8"/>
  <c r="A87" i="8"/>
  <c r="A88" i="8"/>
  <c r="A89" i="8"/>
  <c r="A86" i="8"/>
  <c r="A83" i="8"/>
  <c r="A84" i="8"/>
  <c r="A85" i="8"/>
  <c r="A82" i="8"/>
  <c r="A79" i="8"/>
  <c r="A80" i="8"/>
  <c r="A81" i="8"/>
  <c r="A78" i="8"/>
  <c r="A75" i="8"/>
  <c r="A76" i="8"/>
  <c r="A77" i="8"/>
  <c r="A74" i="8"/>
  <c r="A71" i="8"/>
  <c r="A72" i="8"/>
  <c r="A73" i="8"/>
  <c r="A70" i="8"/>
  <c r="A69" i="8"/>
  <c r="A68" i="8"/>
  <c r="A67" i="8"/>
  <c r="A66" i="8"/>
  <c r="A65" i="8"/>
  <c r="A64" i="8"/>
  <c r="A63" i="8"/>
  <c r="A62" i="8"/>
  <c r="A59" i="8"/>
  <c r="A60" i="8"/>
  <c r="A61" i="8"/>
  <c r="A58" i="8"/>
  <c r="A57" i="8"/>
  <c r="A55" i="8"/>
  <c r="A56" i="8"/>
  <c r="A54" i="8"/>
  <c r="A51" i="8"/>
  <c r="A52" i="8"/>
  <c r="A53" i="8"/>
  <c r="A50" i="8"/>
  <c r="A47" i="8"/>
  <c r="A48" i="8"/>
  <c r="A49" i="8"/>
  <c r="A46" i="8"/>
  <c r="A43" i="8"/>
  <c r="A44" i="8"/>
  <c r="A45" i="8"/>
  <c r="A42" i="8"/>
  <c r="A39" i="8"/>
  <c r="A40" i="8"/>
  <c r="A41" i="8"/>
  <c r="A38" i="8"/>
  <c r="A35" i="8"/>
  <c r="A36" i="8"/>
  <c r="A37" i="8"/>
  <c r="A34" i="8"/>
  <c r="A31" i="8"/>
  <c r="A32" i="8"/>
  <c r="A33" i="8"/>
  <c r="A30" i="8"/>
  <c r="A27" i="8"/>
  <c r="A28" i="8"/>
  <c r="A29" i="8"/>
  <c r="A26" i="8"/>
  <c r="A23" i="8"/>
  <c r="A24" i="8"/>
  <c r="A25" i="8"/>
  <c r="A22" i="8"/>
  <c r="A19" i="8"/>
  <c r="A20" i="8"/>
  <c r="A21" i="8"/>
  <c r="A18" i="8"/>
  <c r="A15" i="8"/>
  <c r="A16" i="8"/>
  <c r="A17" i="8"/>
  <c r="A14" i="8"/>
  <c r="A11" i="8"/>
  <c r="A12" i="8"/>
  <c r="A13" i="8"/>
  <c r="A10" i="8"/>
  <c r="A7" i="8"/>
  <c r="A8" i="8"/>
  <c r="A9" i="8"/>
  <c r="A6" i="8"/>
  <c r="A5" i="8"/>
  <c r="A4" i="8"/>
  <c r="A3" i="8"/>
  <c r="A2" i="8"/>
  <c r="B20" i="3"/>
  <c r="B32" i="3"/>
  <c r="A41"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3" i="3"/>
  <c r="A4" i="3"/>
  <c r="A5" i="3"/>
  <c r="A6" i="3"/>
  <c r="A7" i="3"/>
  <c r="A8" i="3"/>
  <c r="A9" i="3"/>
  <c r="A10" i="3"/>
  <c r="A2" i="3"/>
  <c r="D119" i="3" l="1"/>
  <c r="D47" i="3"/>
  <c r="C107" i="3"/>
  <c r="D154" i="3"/>
  <c r="B154" i="3"/>
  <c r="D179" i="3"/>
  <c r="D46" i="3"/>
  <c r="C47" i="3"/>
  <c r="F47" i="3" s="1"/>
  <c r="C165" i="3"/>
  <c r="E165" i="3"/>
  <c r="C153" i="3"/>
  <c r="B153" i="3"/>
  <c r="C117" i="3"/>
  <c r="D117" i="3"/>
  <c r="D178" i="3"/>
  <c r="D35" i="3"/>
  <c r="B164" i="3"/>
  <c r="F164" i="3" s="1"/>
  <c r="B68" i="3"/>
  <c r="F68" i="3" s="1"/>
  <c r="E119" i="3"/>
  <c r="F119" i="3" s="1"/>
  <c r="C226" i="3"/>
  <c r="F226" i="3" s="1"/>
  <c r="C35" i="3"/>
  <c r="B115" i="3"/>
  <c r="E115" i="3"/>
  <c r="D237" i="3"/>
  <c r="F237" i="3" s="1"/>
  <c r="D33" i="3"/>
  <c r="C94" i="3"/>
  <c r="B211" i="3"/>
  <c r="B250" i="3"/>
  <c r="F250" i="3" s="1"/>
  <c r="B83" i="3"/>
  <c r="C143" i="3"/>
  <c r="C212" i="3"/>
  <c r="C215" i="3"/>
  <c r="D215" i="3"/>
  <c r="C71" i="3"/>
  <c r="E71" i="3"/>
  <c r="E59" i="3"/>
  <c r="F59" i="3" s="1"/>
  <c r="D59" i="3"/>
  <c r="E11" i="3"/>
  <c r="D11" i="3"/>
  <c r="D225" i="3"/>
  <c r="D118" i="3"/>
  <c r="C106" i="3"/>
  <c r="D81" i="3"/>
  <c r="C81" i="3"/>
  <c r="B106" i="3"/>
  <c r="F106" i="3" s="1"/>
  <c r="E130" i="3"/>
  <c r="F130" i="3" s="1"/>
  <c r="C227" i="3"/>
  <c r="F227" i="3" s="1"/>
  <c r="C46" i="3"/>
  <c r="E141" i="3"/>
  <c r="D32" i="3"/>
  <c r="C32" i="3"/>
  <c r="B213" i="3"/>
  <c r="C95" i="3"/>
  <c r="D165" i="3"/>
  <c r="B155" i="3"/>
  <c r="E177" i="3"/>
  <c r="F177" i="3" s="1"/>
  <c r="C154" i="3"/>
  <c r="C34" i="3"/>
  <c r="F34" i="3" s="1"/>
  <c r="E107" i="3"/>
  <c r="F107" i="3" s="1"/>
  <c r="C203" i="3"/>
  <c r="E69" i="3"/>
  <c r="B78" i="3"/>
  <c r="E117" i="3"/>
  <c r="B239" i="3"/>
  <c r="E251" i="3"/>
  <c r="E167" i="3"/>
  <c r="C202" i="3"/>
  <c r="C83" i="3"/>
  <c r="F83" i="3" s="1"/>
  <c r="C21" i="3"/>
  <c r="E235" i="3"/>
  <c r="C44" i="3"/>
  <c r="F44" i="3" s="1"/>
  <c r="D78" i="3"/>
  <c r="C213" i="3"/>
  <c r="B167" i="3"/>
  <c r="C166" i="3"/>
  <c r="E166" i="3"/>
  <c r="D166" i="3"/>
  <c r="B166" i="3"/>
  <c r="F166" i="3" s="1"/>
  <c r="E225" i="3"/>
  <c r="B165" i="3"/>
  <c r="E179" i="3"/>
  <c r="E58" i="3"/>
  <c r="F58" i="3" s="1"/>
  <c r="D105" i="3"/>
  <c r="C105" i="3"/>
  <c r="D34" i="3"/>
  <c r="E199" i="3"/>
  <c r="B199" i="3"/>
  <c r="B203" i="3"/>
  <c r="B142" i="3"/>
  <c r="E118" i="3"/>
  <c r="D95" i="3"/>
  <c r="B249" i="3"/>
  <c r="F249" i="3" s="1"/>
  <c r="B202" i="3"/>
  <c r="F202" i="3" s="1"/>
  <c r="D94" i="3"/>
  <c r="F94" i="3" s="1"/>
  <c r="D23" i="3"/>
  <c r="C22" i="3"/>
  <c r="B82" i="3"/>
  <c r="E106" i="3"/>
  <c r="D142" i="3"/>
  <c r="D93" i="3"/>
  <c r="D22" i="3"/>
  <c r="B238" i="3"/>
  <c r="B131" i="3"/>
  <c r="F131" i="3" s="1"/>
  <c r="B71" i="3"/>
  <c r="E161" i="3"/>
  <c r="E104" i="3"/>
  <c r="D141" i="3"/>
  <c r="F141" i="3" s="1"/>
  <c r="D21" i="3"/>
  <c r="C201" i="3"/>
  <c r="C141" i="3"/>
  <c r="C82" i="3"/>
  <c r="C11" i="3"/>
  <c r="F11" i="3" s="1"/>
  <c r="D236" i="3"/>
  <c r="C45" i="3"/>
  <c r="B80" i="3"/>
  <c r="D224" i="3"/>
  <c r="F224" i="3" s="1"/>
  <c r="C214" i="3"/>
  <c r="D214" i="3"/>
  <c r="E10" i="3"/>
  <c r="D10" i="3"/>
  <c r="B10" i="3"/>
  <c r="B107" i="3"/>
  <c r="B214" i="3"/>
  <c r="B45" i="3"/>
  <c r="E33" i="3"/>
  <c r="B93" i="3"/>
  <c r="D238" i="3"/>
  <c r="C155" i="3"/>
  <c r="B251" i="3"/>
  <c r="F251" i="3" s="1"/>
  <c r="E215" i="3"/>
  <c r="F215" i="3" s="1"/>
  <c r="D167" i="3"/>
  <c r="F167" i="3" s="1"/>
  <c r="C225" i="3"/>
  <c r="E176" i="3"/>
  <c r="C93" i="3"/>
  <c r="B140" i="3"/>
  <c r="B237" i="3"/>
  <c r="B70" i="3"/>
  <c r="E203" i="3"/>
  <c r="E155" i="3"/>
  <c r="E95" i="3"/>
  <c r="C191" i="3"/>
  <c r="F191" i="3" s="1"/>
  <c r="C70" i="3"/>
  <c r="F70" i="3" s="1"/>
  <c r="C10" i="3"/>
  <c r="D80" i="3"/>
  <c r="D233" i="3"/>
  <c r="B11" i="3"/>
  <c r="B34" i="3"/>
  <c r="B143" i="3"/>
  <c r="D52" i="3"/>
  <c r="D196" i="3"/>
  <c r="B90" i="3"/>
  <c r="C197" i="3"/>
  <c r="C174" i="3"/>
  <c r="B212" i="3"/>
  <c r="F212" i="3" s="1"/>
  <c r="C176" i="3"/>
  <c r="F176" i="3" s="1"/>
  <c r="E111" i="3"/>
  <c r="D200" i="3"/>
  <c r="B150" i="3"/>
  <c r="B175" i="3"/>
  <c r="E174" i="3"/>
  <c r="E89" i="3"/>
  <c r="D213" i="3"/>
  <c r="D45" i="3"/>
  <c r="B52" i="3"/>
  <c r="D212" i="3"/>
  <c r="C123" i="3"/>
  <c r="B110" i="3"/>
  <c r="D51" i="3"/>
  <c r="E128" i="3"/>
  <c r="D210" i="3"/>
  <c r="D109" i="3"/>
  <c r="C3" i="3"/>
  <c r="D159" i="3"/>
  <c r="B88" i="3"/>
  <c r="E196" i="3"/>
  <c r="C196" i="3"/>
  <c r="F196" i="3" s="1"/>
  <c r="D4" i="3"/>
  <c r="C65" i="3"/>
  <c r="B159" i="3"/>
  <c r="C63" i="3"/>
  <c r="C5" i="3"/>
  <c r="C66" i="3"/>
  <c r="D172" i="3"/>
  <c r="C124" i="3"/>
  <c r="E44" i="3"/>
  <c r="D64" i="3"/>
  <c r="C219" i="3"/>
  <c r="B189" i="3"/>
  <c r="F189" i="3" s="1"/>
  <c r="E92" i="3"/>
  <c r="D123" i="3"/>
  <c r="C243" i="3"/>
  <c r="E75" i="3"/>
  <c r="B109" i="3"/>
  <c r="B160" i="3"/>
  <c r="E76" i="3"/>
  <c r="D5" i="3"/>
  <c r="B66" i="3"/>
  <c r="D66" i="3"/>
  <c r="C160" i="3"/>
  <c r="E188" i="3"/>
  <c r="E140" i="3"/>
  <c r="F140" i="3" s="1"/>
  <c r="C188" i="3"/>
  <c r="E183" i="3"/>
  <c r="D153" i="3"/>
  <c r="C16" i="3"/>
  <c r="E228" i="3"/>
  <c r="D228" i="3"/>
  <c r="C228" i="3"/>
  <c r="B228" i="3"/>
  <c r="C25" i="3"/>
  <c r="D25" i="3"/>
  <c r="D37" i="3"/>
  <c r="C37" i="3"/>
  <c r="E37" i="3"/>
  <c r="E61" i="3"/>
  <c r="B61" i="3"/>
  <c r="D61" i="3"/>
  <c r="B73" i="3"/>
  <c r="E73" i="3"/>
  <c r="C73" i="3"/>
  <c r="D73" i="3"/>
  <c r="B97" i="3"/>
  <c r="E97" i="3"/>
  <c r="D97" i="3"/>
  <c r="C97" i="3"/>
  <c r="C121" i="3"/>
  <c r="E121" i="3"/>
  <c r="D121" i="3"/>
  <c r="B133" i="3"/>
  <c r="D133" i="3"/>
  <c r="C133" i="3"/>
  <c r="B145" i="3"/>
  <c r="D145" i="3"/>
  <c r="E145" i="3"/>
  <c r="D157" i="3"/>
  <c r="E157" i="3"/>
  <c r="C157" i="3"/>
  <c r="B169" i="3"/>
  <c r="E169" i="3"/>
  <c r="C169" i="3"/>
  <c r="D169" i="3"/>
  <c r="E181" i="3"/>
  <c r="B181" i="3"/>
  <c r="B193" i="3"/>
  <c r="E193" i="3"/>
  <c r="C193" i="3"/>
  <c r="D193" i="3"/>
  <c r="E205" i="3"/>
  <c r="C205" i="3"/>
  <c r="D205" i="3"/>
  <c r="B217" i="3"/>
  <c r="C217" i="3"/>
  <c r="D217" i="3"/>
  <c r="B241" i="3"/>
  <c r="D241" i="3"/>
  <c r="E241" i="3"/>
  <c r="B2" i="3"/>
  <c r="E2" i="3"/>
  <c r="C2" i="3"/>
  <c r="D2" i="3"/>
  <c r="D26" i="3"/>
  <c r="C26" i="3"/>
  <c r="B50" i="3"/>
  <c r="C50" i="3"/>
  <c r="E50" i="3"/>
  <c r="C86" i="3"/>
  <c r="D86" i="3"/>
  <c r="B86" i="3"/>
  <c r="E86" i="3"/>
  <c r="C146" i="3"/>
  <c r="D146" i="3"/>
  <c r="B146" i="3"/>
  <c r="E146" i="3"/>
  <c r="B242" i="3"/>
  <c r="D242" i="3"/>
  <c r="E242" i="3"/>
  <c r="B205" i="3"/>
  <c r="C145" i="3"/>
  <c r="B157" i="3"/>
  <c r="E26" i="3"/>
  <c r="E133" i="3"/>
  <c r="E25" i="3"/>
  <c r="D181" i="3"/>
  <c r="D12" i="3"/>
  <c r="B12" i="3"/>
  <c r="E12" i="3"/>
  <c r="C12" i="3"/>
  <c r="C24" i="3"/>
  <c r="D24" i="3"/>
  <c r="E36" i="3"/>
  <c r="D36" i="3"/>
  <c r="B36" i="3"/>
  <c r="C36" i="3"/>
  <c r="E48" i="3"/>
  <c r="C48" i="3"/>
  <c r="B48" i="3"/>
  <c r="D48" i="3"/>
  <c r="E60" i="3"/>
  <c r="B60" i="3"/>
  <c r="D60" i="3"/>
  <c r="C60" i="3"/>
  <c r="B72" i="3"/>
  <c r="E72" i="3"/>
  <c r="C72" i="3"/>
  <c r="D72" i="3"/>
  <c r="D84" i="3"/>
  <c r="B84" i="3"/>
  <c r="E84" i="3"/>
  <c r="B96" i="3"/>
  <c r="E96" i="3"/>
  <c r="D96" i="3"/>
  <c r="C96" i="3"/>
  <c r="B108" i="3"/>
  <c r="C108" i="3"/>
  <c r="E108" i="3"/>
  <c r="B120" i="3"/>
  <c r="C120" i="3"/>
  <c r="E120" i="3"/>
  <c r="D120" i="3"/>
  <c r="B132" i="3"/>
  <c r="D132" i="3"/>
  <c r="C132" i="3"/>
  <c r="E144" i="3"/>
  <c r="B144" i="3"/>
  <c r="D144" i="3"/>
  <c r="E156" i="3"/>
  <c r="D156" i="3"/>
  <c r="B156" i="3"/>
  <c r="C156" i="3"/>
  <c r="E168" i="3"/>
  <c r="B168" i="3"/>
  <c r="C168" i="3"/>
  <c r="D168" i="3"/>
  <c r="E180" i="3"/>
  <c r="B180" i="3"/>
  <c r="E192" i="3"/>
  <c r="B192" i="3"/>
  <c r="C192" i="3"/>
  <c r="D192" i="3"/>
  <c r="E204" i="3"/>
  <c r="D204" i="3"/>
  <c r="E216" i="3"/>
  <c r="B216" i="3"/>
  <c r="C216" i="3"/>
  <c r="D216" i="3"/>
  <c r="E240" i="3"/>
  <c r="B240" i="3"/>
  <c r="D240" i="3"/>
  <c r="B24" i="3"/>
  <c r="D108" i="3"/>
  <c r="D13" i="3"/>
  <c r="E13" i="3"/>
  <c r="C13" i="3"/>
  <c r="B49" i="3"/>
  <c r="E49" i="3"/>
  <c r="C49" i="3"/>
  <c r="E85" i="3"/>
  <c r="D85" i="3"/>
  <c r="C85" i="3"/>
  <c r="B85" i="3"/>
  <c r="D229" i="3"/>
  <c r="C229" i="3"/>
  <c r="B229" i="3"/>
  <c r="E229" i="3"/>
  <c r="D14" i="3"/>
  <c r="E14" i="3"/>
  <c r="C14" i="3"/>
  <c r="C38" i="3"/>
  <c r="D38" i="3"/>
  <c r="B62" i="3"/>
  <c r="E62" i="3"/>
  <c r="D62" i="3"/>
  <c r="B74" i="3"/>
  <c r="E74" i="3"/>
  <c r="C74" i="3"/>
  <c r="D74" i="3"/>
  <c r="D98" i="3"/>
  <c r="E98" i="3"/>
  <c r="B98" i="3"/>
  <c r="C98" i="3"/>
  <c r="D110" i="3"/>
  <c r="C110" i="3"/>
  <c r="B122" i="3"/>
  <c r="C122" i="3"/>
  <c r="E122" i="3"/>
  <c r="D122" i="3"/>
  <c r="C134" i="3"/>
  <c r="B134" i="3"/>
  <c r="D134" i="3"/>
  <c r="D158" i="3"/>
  <c r="C158" i="3"/>
  <c r="E158" i="3"/>
  <c r="D170" i="3"/>
  <c r="C170" i="3"/>
  <c r="E170" i="3"/>
  <c r="C182" i="3"/>
  <c r="E182" i="3"/>
  <c r="B182" i="3"/>
  <c r="E194" i="3"/>
  <c r="B194" i="3"/>
  <c r="C194" i="3"/>
  <c r="D194" i="3"/>
  <c r="E206" i="3"/>
  <c r="C206" i="3"/>
  <c r="D206" i="3"/>
  <c r="E218" i="3"/>
  <c r="B218" i="3"/>
  <c r="C218" i="3"/>
  <c r="C230" i="3"/>
  <c r="D230" i="3"/>
  <c r="B230" i="3"/>
  <c r="E230" i="3"/>
  <c r="B121" i="3"/>
  <c r="D49" i="3"/>
  <c r="C62" i="3"/>
  <c r="B206" i="3"/>
  <c r="F219" i="3"/>
  <c r="C204" i="3"/>
  <c r="F204" i="3" s="1"/>
  <c r="C61" i="3"/>
  <c r="D218" i="3"/>
  <c r="C144" i="3"/>
  <c r="E109" i="3"/>
  <c r="D182" i="3"/>
  <c r="B170" i="3"/>
  <c r="E132" i="3"/>
  <c r="E24" i="3"/>
  <c r="D180" i="3"/>
  <c r="C242" i="3"/>
  <c r="B87" i="3"/>
  <c r="D87" i="3"/>
  <c r="C87" i="3"/>
  <c r="E87" i="3"/>
  <c r="D99" i="3"/>
  <c r="E99" i="3"/>
  <c r="E207" i="3"/>
  <c r="B207" i="3"/>
  <c r="E219" i="3"/>
  <c r="B219" i="3"/>
  <c r="E231" i="3"/>
  <c r="D231" i="3"/>
  <c r="C231" i="3"/>
  <c r="E3" i="3"/>
  <c r="E232" i="3"/>
  <c r="C232" i="3"/>
  <c r="B135" i="3"/>
  <c r="E147" i="3"/>
  <c r="E51" i="3"/>
  <c r="D136" i="3"/>
  <c r="C195" i="3"/>
  <c r="C29" i="3"/>
  <c r="D29" i="3"/>
  <c r="C53" i="3"/>
  <c r="B53" i="3"/>
  <c r="C89" i="3"/>
  <c r="B89" i="3"/>
  <c r="F89" i="3" s="1"/>
  <c r="C101" i="3"/>
  <c r="E101" i="3"/>
  <c r="D101" i="3"/>
  <c r="C113" i="3"/>
  <c r="D113" i="3"/>
  <c r="E113" i="3"/>
  <c r="C125" i="3"/>
  <c r="E125" i="3"/>
  <c r="B125" i="3"/>
  <c r="C137" i="3"/>
  <c r="E137" i="3"/>
  <c r="C149" i="3"/>
  <c r="B149" i="3"/>
  <c r="C161" i="3"/>
  <c r="B161" i="3"/>
  <c r="C173" i="3"/>
  <c r="D173" i="3"/>
  <c r="C185" i="3"/>
  <c r="D185" i="3"/>
  <c r="C209" i="3"/>
  <c r="B209" i="3"/>
  <c r="C221" i="3"/>
  <c r="E221" i="3"/>
  <c r="C245" i="3"/>
  <c r="E245" i="3"/>
  <c r="D245" i="3"/>
  <c r="B26" i="3"/>
  <c r="B14" i="3"/>
  <c r="B136" i="3"/>
  <c r="E17" i="3"/>
  <c r="D77" i="3"/>
  <c r="F77" i="3" s="1"/>
  <c r="C162" i="3"/>
  <c r="B162" i="3"/>
  <c r="F162" i="3" s="1"/>
  <c r="C246" i="3"/>
  <c r="B246" i="3"/>
  <c r="E246" i="3"/>
  <c r="B25" i="3"/>
  <c r="B171" i="3"/>
  <c r="B137" i="3"/>
  <c r="E209" i="3"/>
  <c r="E173" i="3"/>
  <c r="D174" i="3"/>
  <c r="C172" i="3"/>
  <c r="C111" i="3"/>
  <c r="D19" i="3"/>
  <c r="C19" i="3"/>
  <c r="E19" i="3"/>
  <c r="B197" i="3"/>
  <c r="F197" i="3" s="1"/>
  <c r="B99" i="3"/>
  <c r="E243" i="3"/>
  <c r="E30" i="3"/>
  <c r="E15" i="3"/>
  <c r="C183" i="3"/>
  <c r="B183" i="3"/>
  <c r="D63" i="3"/>
  <c r="F239" i="3"/>
  <c r="D40" i="3"/>
  <c r="C40" i="3"/>
  <c r="C88" i="3"/>
  <c r="E88" i="3"/>
  <c r="E100" i="3"/>
  <c r="D100" i="3"/>
  <c r="D112" i="3"/>
  <c r="B112" i="3"/>
  <c r="E112" i="3"/>
  <c r="D184" i="3"/>
  <c r="B184" i="3"/>
  <c r="C184" i="3"/>
  <c r="B208" i="3"/>
  <c r="E208" i="3"/>
  <c r="B220" i="3"/>
  <c r="E220" i="3"/>
  <c r="E244" i="3"/>
  <c r="D244" i="3"/>
  <c r="D232" i="3"/>
  <c r="D195" i="3"/>
  <c r="C76" i="3"/>
  <c r="C15" i="3"/>
  <c r="C41" i="3"/>
  <c r="D41" i="3"/>
  <c r="C233" i="3"/>
  <c r="E233" i="3"/>
  <c r="B38" i="3"/>
  <c r="B173" i="3"/>
  <c r="E160" i="3"/>
  <c r="E123" i="3"/>
  <c r="D209" i="3"/>
  <c r="D135" i="3"/>
  <c r="C112" i="3"/>
  <c r="C75" i="3"/>
  <c r="C6" i="3"/>
  <c r="E6" i="3"/>
  <c r="B6" i="3"/>
  <c r="F6" i="3" s="1"/>
  <c r="C42" i="3"/>
  <c r="D42" i="3"/>
  <c r="C54" i="3"/>
  <c r="D54" i="3"/>
  <c r="C114" i="3"/>
  <c r="D114" i="3"/>
  <c r="E114" i="3"/>
  <c r="C126" i="3"/>
  <c r="D126" i="3"/>
  <c r="E126" i="3"/>
  <c r="C138" i="3"/>
  <c r="E138" i="3"/>
  <c r="B138" i="3"/>
  <c r="F138" i="3" s="1"/>
  <c r="C186" i="3"/>
  <c r="B186" i="3"/>
  <c r="D186" i="3"/>
  <c r="C198" i="3"/>
  <c r="D198" i="3"/>
  <c r="B210" i="3"/>
  <c r="C210" i="3"/>
  <c r="C234" i="3"/>
  <c r="E234" i="3"/>
  <c r="B37" i="3"/>
  <c r="E159" i="3"/>
  <c r="E65" i="3"/>
  <c r="E16" i="3"/>
  <c r="D150" i="3"/>
  <c r="D76" i="3"/>
  <c r="C52" i="3"/>
  <c r="D7" i="3"/>
  <c r="C7" i="3"/>
  <c r="E7" i="3"/>
  <c r="D31" i="3"/>
  <c r="C31" i="3"/>
  <c r="D43" i="3"/>
  <c r="C43" i="3"/>
  <c r="F43" i="3" s="1"/>
  <c r="D55" i="3"/>
  <c r="C55" i="3"/>
  <c r="B55" i="3"/>
  <c r="D67" i="3"/>
  <c r="C67" i="3"/>
  <c r="D79" i="3"/>
  <c r="C79" i="3"/>
  <c r="B79" i="3"/>
  <c r="D91" i="3"/>
  <c r="C91" i="3"/>
  <c r="F91" i="3" s="1"/>
  <c r="D103" i="3"/>
  <c r="C103" i="3"/>
  <c r="B103" i="3"/>
  <c r="F103" i="3" s="1"/>
  <c r="D115" i="3"/>
  <c r="C115" i="3"/>
  <c r="F115" i="3" s="1"/>
  <c r="D127" i="3"/>
  <c r="B127" i="3"/>
  <c r="C127" i="3"/>
  <c r="E127" i="3"/>
  <c r="D139" i="3"/>
  <c r="C139" i="3"/>
  <c r="E139" i="3"/>
  <c r="D151" i="3"/>
  <c r="C151" i="3"/>
  <c r="B151" i="3"/>
  <c r="F151" i="3" s="1"/>
  <c r="D163" i="3"/>
  <c r="B163" i="3"/>
  <c r="C163" i="3"/>
  <c r="D175" i="3"/>
  <c r="C175" i="3"/>
  <c r="B102" i="3"/>
  <c r="B139" i="3"/>
  <c r="B231" i="3"/>
  <c r="E172" i="3"/>
  <c r="E64" i="3"/>
  <c r="D207" i="3"/>
  <c r="D149" i="3"/>
  <c r="D75" i="3"/>
  <c r="D39" i="3"/>
  <c r="C208" i="3"/>
  <c r="C171" i="3"/>
  <c r="C51" i="3"/>
  <c r="B100" i="3"/>
  <c r="B67" i="3"/>
  <c r="B101" i="3"/>
  <c r="B195" i="3"/>
  <c r="B232" i="3"/>
  <c r="E186" i="3"/>
  <c r="E171" i="3"/>
  <c r="E102" i="3"/>
  <c r="E63" i="3"/>
  <c r="E29" i="3"/>
  <c r="D246" i="3"/>
  <c r="D222" i="3"/>
  <c r="D148" i="3"/>
  <c r="D18" i="3"/>
  <c r="C207" i="3"/>
  <c r="C148" i="3"/>
  <c r="B245" i="3"/>
  <c r="B221" i="3"/>
  <c r="B126" i="3"/>
  <c r="F126" i="3" s="1"/>
  <c r="B65" i="3"/>
  <c r="B54" i="3"/>
  <c r="B234" i="3"/>
  <c r="E185" i="3"/>
  <c r="E136" i="3"/>
  <c r="E79" i="3"/>
  <c r="E43" i="3"/>
  <c r="E28" i="3"/>
  <c r="D221" i="3"/>
  <c r="D147" i="3"/>
  <c r="D111" i="3"/>
  <c r="D17" i="3"/>
  <c r="C147" i="3"/>
  <c r="C28" i="3"/>
  <c r="B244" i="3"/>
  <c r="B124" i="3"/>
  <c r="B64" i="3"/>
  <c r="B198" i="3"/>
  <c r="F198" i="3" s="1"/>
  <c r="B243" i="3"/>
  <c r="E222" i="3"/>
  <c r="E184" i="3"/>
  <c r="E135" i="3"/>
  <c r="E78" i="3"/>
  <c r="E42" i="3"/>
  <c r="E27" i="3"/>
  <c r="D220" i="3"/>
  <c r="F220" i="3" s="1"/>
  <c r="D90" i="3"/>
  <c r="D53" i="3"/>
  <c r="C244" i="3"/>
  <c r="C64" i="3"/>
  <c r="C27" i="3"/>
  <c r="D187" i="3"/>
  <c r="C187" i="3"/>
  <c r="D199" i="3"/>
  <c r="C199" i="3"/>
  <c r="F199" i="3" s="1"/>
  <c r="D211" i="3"/>
  <c r="C211" i="3"/>
  <c r="D223" i="3"/>
  <c r="C223" i="3"/>
  <c r="D235" i="3"/>
  <c r="C235" i="3"/>
  <c r="D247" i="3"/>
  <c r="C247" i="3"/>
  <c r="B18" i="3"/>
  <c r="F18" i="3" s="1"/>
  <c r="E247" i="3"/>
  <c r="B116" i="3"/>
  <c r="D116" i="3"/>
  <c r="D128" i="3"/>
  <c r="B128" i="3"/>
  <c r="B29" i="3"/>
  <c r="B17" i="3"/>
  <c r="E8" i="3"/>
  <c r="E20" i="3"/>
  <c r="F20" i="3" s="1"/>
  <c r="B56" i="3"/>
  <c r="D56" i="3"/>
  <c r="B92" i="3"/>
  <c r="D92" i="3"/>
  <c r="B188" i="3"/>
  <c r="B236" i="3"/>
  <c r="F236" i="3" s="1"/>
  <c r="B187" i="3"/>
  <c r="E152" i="3"/>
  <c r="E32" i="3"/>
  <c r="F32" i="3" s="1"/>
  <c r="C248" i="3"/>
  <c r="C200" i="3"/>
  <c r="F200" i="3" s="1"/>
  <c r="C152" i="3"/>
  <c r="C104" i="3"/>
  <c r="C56" i="3"/>
  <c r="C8" i="3"/>
  <c r="B57" i="3"/>
  <c r="F57" i="3" s="1"/>
  <c r="B41" i="3"/>
  <c r="F41" i="3" s="1"/>
  <c r="B105" i="3"/>
  <c r="B81" i="3"/>
  <c r="F81" i="3" s="1"/>
  <c r="F165" i="3"/>
  <c r="E143" i="3"/>
  <c r="F117" i="3"/>
  <c r="F69" i="3"/>
  <c r="F213" i="3"/>
  <c r="F93" i="3"/>
  <c r="F45" i="3"/>
  <c r="F225" i="3"/>
  <c r="F201" i="3"/>
  <c r="F129" i="3"/>
  <c r="F248" i="3"/>
  <c r="F178" i="3"/>
  <c r="F142" i="3"/>
  <c r="F190" i="3"/>
  <c r="F154" i="3"/>
  <c r="F82" i="3"/>
  <c r="B22" i="3"/>
  <c r="B30" i="3"/>
  <c r="B39" i="3"/>
  <c r="B27" i="3"/>
  <c r="B15" i="3"/>
  <c r="B3" i="3"/>
  <c r="B35" i="3"/>
  <c r="B23" i="3"/>
  <c r="B40" i="3"/>
  <c r="B28" i="3"/>
  <c r="B16" i="3"/>
  <c r="B4" i="3"/>
  <c r="B13" i="3"/>
  <c r="B33" i="3"/>
  <c r="F33" i="3" s="1"/>
  <c r="B21" i="3"/>
  <c r="B9" i="3"/>
  <c r="B8" i="3"/>
  <c r="B31" i="3"/>
  <c r="B19" i="3"/>
  <c r="B7" i="3"/>
  <c r="B5" i="3"/>
  <c r="F10" i="3" l="1"/>
  <c r="F78" i="3"/>
  <c r="F46" i="3"/>
  <c r="F95" i="3"/>
  <c r="F203" i="3"/>
  <c r="F71" i="3"/>
  <c r="F179" i="3"/>
  <c r="F22" i="3"/>
  <c r="F214" i="3"/>
  <c r="F80" i="3"/>
  <c r="F155" i="3"/>
  <c r="F238" i="3"/>
  <c r="F118" i="3"/>
  <c r="F104" i="3"/>
  <c r="F114" i="3"/>
  <c r="F51" i="3"/>
  <c r="F175" i="3"/>
  <c r="F110" i="3"/>
  <c r="F86" i="3"/>
  <c r="F235" i="3"/>
  <c r="F161" i="3"/>
  <c r="F66" i="3"/>
  <c r="F105" i="3"/>
  <c r="F143" i="3"/>
  <c r="F124" i="3"/>
  <c r="F52" i="3"/>
  <c r="F144" i="3"/>
  <c r="F223" i="3"/>
  <c r="F90" i="3"/>
  <c r="F153" i="3"/>
  <c r="F229" i="3"/>
  <c r="F241" i="3"/>
  <c r="F160" i="3"/>
  <c r="F109" i="3"/>
  <c r="F150" i="3"/>
  <c r="F53" i="3"/>
  <c r="F123" i="3"/>
  <c r="F188" i="3"/>
  <c r="F111" i="3"/>
  <c r="F157" i="3"/>
  <c r="F146" i="3"/>
  <c r="F222" i="3"/>
  <c r="F122" i="3"/>
  <c r="F108" i="3"/>
  <c r="F145" i="3"/>
  <c r="F182" i="3"/>
  <c r="F64" i="3"/>
  <c r="F174" i="3"/>
  <c r="F72" i="3"/>
  <c r="F79" i="3"/>
  <c r="F211" i="3"/>
  <c r="F218" i="3"/>
  <c r="F62" i="3"/>
  <c r="F60" i="3"/>
  <c r="F116" i="3"/>
  <c r="F206" i="3"/>
  <c r="F38" i="3"/>
  <c r="F181" i="3"/>
  <c r="F2" i="3"/>
  <c r="F243" i="3"/>
  <c r="F133" i="3"/>
  <c r="F97" i="3"/>
  <c r="F4" i="3"/>
  <c r="F56" i="3"/>
  <c r="F228" i="3"/>
  <c r="F26" i="3"/>
  <c r="F54" i="3"/>
  <c r="F159" i="3"/>
  <c r="F96" i="3"/>
  <c r="F12" i="3"/>
  <c r="F180" i="3"/>
  <c r="F132" i="3"/>
  <c r="F172" i="3"/>
  <c r="F24" i="3"/>
  <c r="F183" i="3"/>
  <c r="F25" i="3"/>
  <c r="F13" i="3"/>
  <c r="F73" i="3"/>
  <c r="F5" i="3"/>
  <c r="F42" i="3"/>
  <c r="F221" i="3"/>
  <c r="F242" i="3"/>
  <c r="F216" i="3"/>
  <c r="F48" i="3"/>
  <c r="F231" i="3"/>
  <c r="F158" i="3"/>
  <c r="F247" i="3"/>
  <c r="F134" i="3"/>
  <c r="F156" i="3"/>
  <c r="F100" i="3"/>
  <c r="F171" i="3"/>
  <c r="F193" i="3"/>
  <c r="F217" i="3"/>
  <c r="F84" i="3"/>
  <c r="F37" i="3"/>
  <c r="F139" i="3"/>
  <c r="F207" i="3"/>
  <c r="F113" i="3"/>
  <c r="F194" i="3"/>
  <c r="F120" i="3"/>
  <c r="F36" i="3"/>
  <c r="F17" i="3"/>
  <c r="F234" i="3"/>
  <c r="F127" i="3"/>
  <c r="F67" i="3"/>
  <c r="F149" i="3"/>
  <c r="F74" i="3"/>
  <c r="F192" i="3"/>
  <c r="F233" i="3"/>
  <c r="F50" i="3"/>
  <c r="F169" i="3"/>
  <c r="F205" i="3"/>
  <c r="F8" i="3"/>
  <c r="F92" i="3"/>
  <c r="F170" i="3"/>
  <c r="F14" i="3"/>
  <c r="F230" i="3"/>
  <c r="F152" i="3"/>
  <c r="F29" i="3"/>
  <c r="F163" i="3"/>
  <c r="F55" i="3"/>
  <c r="F173" i="3"/>
  <c r="F88" i="3"/>
  <c r="F245" i="3"/>
  <c r="F85" i="3"/>
  <c r="F168" i="3"/>
  <c r="F98" i="3"/>
  <c r="F49" i="3"/>
  <c r="F121" i="3"/>
  <c r="F137" i="3"/>
  <c r="F187" i="3"/>
  <c r="F128" i="3"/>
  <c r="F147" i="3"/>
  <c r="F65" i="3"/>
  <c r="F102" i="3"/>
  <c r="F75" i="3"/>
  <c r="F246" i="3"/>
  <c r="F61" i="3"/>
  <c r="F240" i="3"/>
  <c r="F101" i="3"/>
  <c r="F186" i="3"/>
  <c r="F232" i="3"/>
  <c r="F209" i="3"/>
  <c r="F184" i="3"/>
  <c r="F148" i="3"/>
  <c r="F135" i="3"/>
  <c r="F31" i="3"/>
  <c r="F185" i="3"/>
  <c r="F244" i="3"/>
  <c r="F99" i="3"/>
  <c r="F208" i="3"/>
  <c r="F87" i="3"/>
  <c r="F15" i="3"/>
  <c r="F76" i="3"/>
  <c r="F63" i="3"/>
  <c r="F125" i="3"/>
  <c r="F27" i="3"/>
  <c r="F210" i="3"/>
  <c r="F195" i="3"/>
  <c r="F112" i="3"/>
  <c r="F136" i="3"/>
  <c r="F7" i="3"/>
  <c r="F40" i="3"/>
  <c r="F21" i="3"/>
  <c r="F39" i="3"/>
  <c r="F9" i="3"/>
  <c r="F23" i="3"/>
  <c r="F35" i="3"/>
  <c r="F30" i="3"/>
  <c r="F16" i="3"/>
  <c r="F19" i="3"/>
  <c r="F28" i="3"/>
  <c r="F3" i="3"/>
</calcChain>
</file>

<file path=xl/sharedStrings.xml><?xml version="1.0" encoding="utf-8"?>
<sst xmlns="http://schemas.openxmlformats.org/spreadsheetml/2006/main" count="459" uniqueCount="273">
  <si>
    <t>Station Name</t>
  </si>
  <si>
    <t># Bikes</t>
  </si>
  <si>
    <t>Maintenance Type</t>
  </si>
  <si>
    <t>Time per Bike (minutes)</t>
  </si>
  <si>
    <t>Frequency (per year)</t>
  </si>
  <si>
    <t>Weekly</t>
  </si>
  <si>
    <t>Monthly</t>
  </si>
  <si>
    <t>Biannual</t>
  </si>
  <si>
    <t>Annual</t>
  </si>
  <si>
    <t>Total Maintenance Time (hours)</t>
  </si>
  <si>
    <t>Row Labels</t>
  </si>
  <si>
    <t>Grand Total</t>
  </si>
  <si>
    <t>Sum of Weekly Maintenance</t>
  </si>
  <si>
    <t>Sum of Monthly Maintenance</t>
  </si>
  <si>
    <t>Sum of Biannual Maintenance</t>
  </si>
  <si>
    <t>Sum of Annual Maintenance</t>
  </si>
  <si>
    <t>Sum of Total Maintenance Time</t>
  </si>
  <si>
    <t>Weekly Maintenance (hours)</t>
  </si>
  <si>
    <t>Monthly Maintenance (hours)</t>
  </si>
  <si>
    <t>Biannual Maintenance (hours)</t>
  </si>
  <si>
    <t>Annual Maintenance (hours)</t>
  </si>
  <si>
    <t>Duration (Min)</t>
  </si>
  <si>
    <t>February</t>
  </si>
  <si>
    <t>Sum of # Bikes</t>
  </si>
  <si>
    <t>Date(s)</t>
  </si>
  <si>
    <t>Rosefield Intersection</t>
  </si>
  <si>
    <t>Saughton Road North</t>
  </si>
  <si>
    <t>Willaim Street-NW-SW</t>
  </si>
  <si>
    <t>Rankin Road</t>
  </si>
  <si>
    <t>Woodburn Street</t>
  </si>
  <si>
    <t>Greenbank Row-Road</t>
  </si>
  <si>
    <t>Tolbooth Wynd</t>
  </si>
  <si>
    <t>Newmills Crescent</t>
  </si>
  <si>
    <t>Chapelhill Road</t>
  </si>
  <si>
    <t>Seafield Road</t>
  </si>
  <si>
    <t>West Holmes Gardens</t>
  </si>
  <si>
    <t>Dalhousie Avenue</t>
  </si>
  <si>
    <t>Craigcrook Square</t>
  </si>
  <si>
    <t>Liberton Place</t>
  </si>
  <si>
    <t>Craiglockheart Road North</t>
  </si>
  <si>
    <t>Willowbrae Avenue</t>
  </si>
  <si>
    <t>Morningside Road</t>
  </si>
  <si>
    <t>Hill Street</t>
  </si>
  <si>
    <t>Whitehouse Road</t>
  </si>
  <si>
    <t>Brunstane Road</t>
  </si>
  <si>
    <t>St. John's Road</t>
  </si>
  <si>
    <t>Lanark Road</t>
  </si>
  <si>
    <t>Ferry Road</t>
  </si>
  <si>
    <t>Pilton Avenue</t>
  </si>
  <si>
    <t>Moredun Dykes Road</t>
  </si>
  <si>
    <t>Craigleith Hill Avenue</t>
  </si>
  <si>
    <t>Dovecot Crescent</t>
  </si>
  <si>
    <t>Newbattle Abbey Crescent</t>
  </si>
  <si>
    <t>Lauder Road</t>
  </si>
  <si>
    <t>Easter Currie Place</t>
  </si>
  <si>
    <t>Mountcastle Gardens</t>
  </si>
  <si>
    <t>Buckstone Road</t>
  </si>
  <si>
    <t>Saughtonhall Gardens</t>
  </si>
  <si>
    <t>Priestfield Road-Prestonfield Avenue</t>
  </si>
  <si>
    <t>Prospect Bank Road</t>
  </si>
  <si>
    <t>Wester Hailes Road</t>
  </si>
  <si>
    <t>Bangholm Loan</t>
  </si>
  <si>
    <t>Southfield Gardens West</t>
  </si>
  <si>
    <t>Burnbrae</t>
  </si>
  <si>
    <t>The Loan</t>
  </si>
  <si>
    <t>Milton Road East</t>
  </si>
  <si>
    <t>Easter Road</t>
  </si>
  <si>
    <t>Morningside Drive</t>
  </si>
  <si>
    <t>Greenhill Gardens</t>
  </si>
  <si>
    <t>Clermiston Drive</t>
  </si>
  <si>
    <t>Burnbrae Road</t>
  </si>
  <si>
    <t>South Gyle Road</t>
  </si>
  <si>
    <t>Braid Road</t>
  </si>
  <si>
    <t>West Pilton Drive</t>
  </si>
  <si>
    <t>Clackmae Road</t>
  </si>
  <si>
    <t>Ravelston House Road</t>
  </si>
  <si>
    <t>Newcraighall Primary School</t>
  </si>
  <si>
    <t>Mansfield Road</t>
  </si>
  <si>
    <t>Research Avenue North</t>
  </si>
  <si>
    <t>Seaview Terrace</t>
  </si>
  <si>
    <t>Chalmers Crescent</t>
  </si>
  <si>
    <t>Craiglockhart Primary School</t>
  </si>
  <si>
    <t>Traquair Park West</t>
  </si>
  <si>
    <t>Braid Tennis Club</t>
  </si>
  <si>
    <t>Braehead Drive</t>
  </si>
  <si>
    <t>Corbiehill Avenue</t>
  </si>
  <si>
    <t>Sighthill Shopping Centre</t>
  </si>
  <si>
    <t>Lasswade Road</t>
  </si>
  <si>
    <t>Craiglockhart Park</t>
  </si>
  <si>
    <t>Newhaven Road</t>
  </si>
  <si>
    <t>Crescent House</t>
  </si>
  <si>
    <t>Fillyside Avenue</t>
  </si>
  <si>
    <t>Holyrood Road</t>
  </si>
  <si>
    <t>Moston Terrace</t>
  </si>
  <si>
    <t>Cairntows Park</t>
  </si>
  <si>
    <t>Orchard Brae Gardens</t>
  </si>
  <si>
    <t>Treverlen Park</t>
  </si>
  <si>
    <t>Queensferry Road</t>
  </si>
  <si>
    <t>Morningside Park</t>
  </si>
  <si>
    <t>Ormidale Terrace</t>
  </si>
  <si>
    <t>Spylaw Bank Road</t>
  </si>
  <si>
    <t>Craigmillar Park Bowling Club</t>
  </si>
  <si>
    <t>Ryehill Terrace</t>
  </si>
  <si>
    <t>Seafield Recreation Ground</t>
  </si>
  <si>
    <t>Gorgie Road</t>
  </si>
  <si>
    <t>HMP Edinburgh</t>
  </si>
  <si>
    <t>Edinburgh Academy</t>
  </si>
  <si>
    <t>Drum Brae South</t>
  </si>
  <si>
    <t>Edinburgh College - Milton Road</t>
  </si>
  <si>
    <t>Burdiehouse Road</t>
  </si>
  <si>
    <t>Woodlands School</t>
  </si>
  <si>
    <t>Dean Tennis &amp; Squash Club</t>
  </si>
  <si>
    <t>Old Craighall Road Park</t>
  </si>
  <si>
    <t>Dryden Terrace</t>
  </si>
  <si>
    <t>Balgreen Park</t>
  </si>
  <si>
    <t>Coltin Mains Drive</t>
  </si>
  <si>
    <t>Albert Terrace</t>
  </si>
  <si>
    <t>Grassmarket</t>
  </si>
  <si>
    <t>Marionville Crescent</t>
  </si>
  <si>
    <t>South Morningside Primary School</t>
  </si>
  <si>
    <t>Edmonstone Road</t>
  </si>
  <si>
    <t>Robert Burns Drive</t>
  </si>
  <si>
    <t>Crewe Road South</t>
  </si>
  <si>
    <t>Maybury Medical Practice</t>
  </si>
  <si>
    <t>Darroch Annex</t>
  </si>
  <si>
    <t>Old Kirk Road</t>
  </si>
  <si>
    <t>Juniper Green Tennis Club</t>
  </si>
  <si>
    <t>Ravenswood Avenue</t>
  </si>
  <si>
    <t>Gracemount Primary School</t>
  </si>
  <si>
    <t>Milton Gardens North</t>
  </si>
  <si>
    <t>Broomhall Gardens</t>
  </si>
  <si>
    <t>Kilgraston Road</t>
  </si>
  <si>
    <t>Dudley Bowling Club</t>
  </si>
  <si>
    <t>Winton Loan</t>
  </si>
  <si>
    <t>Castlegreen Care Home</t>
  </si>
  <si>
    <t>Drumbrae Leisure Centre</t>
  </si>
  <si>
    <t>Criaglockhart Telephone Exchange</t>
  </si>
  <si>
    <t>Dalkieth High School</t>
  </si>
  <si>
    <t>Prestonfield Avenue</t>
  </si>
  <si>
    <t>Springwell Medical Centre</t>
  </si>
  <si>
    <t>Braid Hills Approach</t>
  </si>
  <si>
    <t>Colinton Bowling Club</t>
  </si>
  <si>
    <t>Mountcastle Drive North</t>
  </si>
  <si>
    <t>Bonnyrigg Distributor</t>
  </si>
  <si>
    <t>Lockharton Gardens</t>
  </si>
  <si>
    <t>Granton Road</t>
  </si>
  <si>
    <t>Buckstone Crescent</t>
  </si>
  <si>
    <t>Millerhill Carbon Tower</t>
  </si>
  <si>
    <t>Hardengreen Business Park</t>
  </si>
  <si>
    <t>Portobello High Street</t>
  </si>
  <si>
    <t>Shandon Road</t>
  </si>
  <si>
    <t>Bilston Primary School</t>
  </si>
  <si>
    <t>Ulster Grove</t>
  </si>
  <si>
    <t>Craighleith Primary</t>
  </si>
  <si>
    <t>Brunswick Place</t>
  </si>
  <si>
    <t>West Coates</t>
  </si>
  <si>
    <t>London Road</t>
  </si>
  <si>
    <t>Crewe Medical Centre</t>
  </si>
  <si>
    <t>Millhill</t>
  </si>
  <si>
    <t>Gamekeeper's Road</t>
  </si>
  <si>
    <t>Kingsknowe Park</t>
  </si>
  <si>
    <t>Liberton Brae</t>
  </si>
  <si>
    <t>Relugas Road</t>
  </si>
  <si>
    <t>Broomhouse Road</t>
  </si>
  <si>
    <t>Inch Nursery</t>
  </si>
  <si>
    <t>Lothian Road</t>
  </si>
  <si>
    <t>Craigentinny Bowling Club</t>
  </si>
  <si>
    <t>Whitehall Farm Road</t>
  </si>
  <si>
    <t>Hope Terrace</t>
  </si>
  <si>
    <t>Newmills Road</t>
  </si>
  <si>
    <t>Station Road</t>
  </si>
  <si>
    <t>Gilberstoun</t>
  </si>
  <si>
    <t>Salamander Street</t>
  </si>
  <si>
    <t>Leith Walk North</t>
  </si>
  <si>
    <t>Dudingston Park South</t>
  </si>
  <si>
    <t>Fox Spring Crescent</t>
  </si>
  <si>
    <t>Abercorn Park</t>
  </si>
  <si>
    <t>Portobello Road</t>
  </si>
  <si>
    <t>Groathill Road North</t>
  </si>
  <si>
    <t>St. John's Road 2</t>
  </si>
  <si>
    <t>Malleny Millgate</t>
  </si>
  <si>
    <t>Boswall Parkway</t>
  </si>
  <si>
    <t>Powerleague Seaside Pitches</t>
  </si>
  <si>
    <t>Minto Street</t>
  </si>
  <si>
    <t>Calder Gardens</t>
  </si>
  <si>
    <t>Gogarbank</t>
  </si>
  <si>
    <t>Canal View Primary School</t>
  </si>
  <si>
    <t>Warriston Playing Fields</t>
  </si>
  <si>
    <t>Clermiston Road</t>
  </si>
  <si>
    <t>Midfield House</t>
  </si>
  <si>
    <t>Greenbank Gardens</t>
  </si>
  <si>
    <t>Cammo Mews</t>
  </si>
  <si>
    <t>Cowden Crescent</t>
  </si>
  <si>
    <t>Meadows West</t>
  </si>
  <si>
    <t>Balgreen Road</t>
  </si>
  <si>
    <t>Merchiston Avenue</t>
  </si>
  <si>
    <t>Davidsons Mains Medical Centre</t>
  </si>
  <si>
    <t>Columba Road</t>
  </si>
  <si>
    <t>Bonnington Road</t>
  </si>
  <si>
    <t>Nile Grove</t>
  </si>
  <si>
    <t>Grange Road</t>
  </si>
  <si>
    <t>Royal Victoria Hospital</t>
  </si>
  <si>
    <t>Saughton Park Gardens</t>
  </si>
  <si>
    <t>Edinburgh Royal Infirmary</t>
  </si>
  <si>
    <t>Stockbridge</t>
  </si>
  <si>
    <t>Coillesdene Avenue</t>
  </si>
  <si>
    <t>Learmonth Terrace</t>
  </si>
  <si>
    <t>Pentland Road</t>
  </si>
  <si>
    <t>Napier Road</t>
  </si>
  <si>
    <t>Craiglockhart Road</t>
  </si>
  <si>
    <t>Queen's Gardens</t>
  </si>
  <si>
    <t>Lennox Road</t>
  </si>
  <si>
    <t>Carnbee Park</t>
  </si>
  <si>
    <t>Welfare Park</t>
  </si>
  <si>
    <t>Drylaw Post Office</t>
  </si>
  <si>
    <t>University of Edinburgh Easter Bush</t>
  </si>
  <si>
    <t>Greenbank Drive</t>
  </si>
  <si>
    <t>Joppa</t>
  </si>
  <si>
    <t>Dalkieth Road</t>
  </si>
  <si>
    <t>East Trinity Road</t>
  </si>
  <si>
    <t>St. Margaret's Park</t>
  </si>
  <si>
    <t>Fraser Avenue</t>
  </si>
  <si>
    <t>Currie Primary School</t>
  </si>
  <si>
    <t>Burnshot Flyover</t>
  </si>
  <si>
    <t>Ladysmith Road</t>
  </si>
  <si>
    <t>Gyle Square</t>
  </si>
  <si>
    <t>Constitution Street</t>
  </si>
  <si>
    <t>Newbattle Community Campus</t>
  </si>
  <si>
    <t>Holyrood High School</t>
  </si>
  <si>
    <t>Melville Dykes Road</t>
  </si>
  <si>
    <t>Broughton High School</t>
  </si>
  <si>
    <t>Orchard Road</t>
  </si>
  <si>
    <t>St. Mary's Music School</t>
  </si>
  <si>
    <t>Craigmillar Shopping Centre</t>
  </si>
  <si>
    <t>Ferryfield</t>
  </si>
  <si>
    <t>Carrick Knowe Gardens</t>
  </si>
  <si>
    <t>Hermitage Gardens</t>
  </si>
  <si>
    <t>St. Albans Road</t>
  </si>
  <si>
    <t>Inverleith Row</t>
  </si>
  <si>
    <t>Murrayfield Gardens</t>
  </si>
  <si>
    <t>West Fairbrae Crescent</t>
  </si>
  <si>
    <t>Urban Union Main Park</t>
  </si>
  <si>
    <t>Belmont Drive</t>
  </si>
  <si>
    <t>Currievale Park</t>
  </si>
  <si>
    <t>Bruntsfield Place</t>
  </si>
  <si>
    <t>Campbell Road</t>
  </si>
  <si>
    <t>Mortonhall Park Drive</t>
  </si>
  <si>
    <t>Oxgangs Terrace</t>
  </si>
  <si>
    <t>Glimerton Dykes Road</t>
  </si>
  <si>
    <t>Grange Loan</t>
  </si>
  <si>
    <t>Dalymple</t>
  </si>
  <si>
    <t>North Junction Street</t>
  </si>
  <si>
    <t>Colinton Road</t>
  </si>
  <si>
    <t>King's Gate</t>
  </si>
  <si>
    <t>Woodburn Drive</t>
  </si>
  <si>
    <t>Duart Crescent</t>
  </si>
  <si>
    <t>The Squircle</t>
  </si>
  <si>
    <t>Moat Drive</t>
  </si>
  <si>
    <t>West Crosscauseway</t>
  </si>
  <si>
    <t>Broughton Street</t>
  </si>
  <si>
    <t>Liberton Road</t>
  </si>
  <si>
    <t>Northumberland Street</t>
  </si>
  <si>
    <t>Drum Brae Drive</t>
  </si>
  <si>
    <t>Newcraighall Road</t>
  </si>
  <si>
    <t>Pentland Primary School</t>
  </si>
  <si>
    <t>Gilmerton Road</t>
  </si>
  <si>
    <t>Magdalene Avenue</t>
  </si>
  <si>
    <t>Mayfield Terrace</t>
  </si>
  <si>
    <t>Pilrig Street</t>
  </si>
  <si>
    <t>Hillview Crescent</t>
  </si>
  <si>
    <t>Southview Road East</t>
  </si>
  <si>
    <t>Caiystane Crescent</t>
  </si>
  <si>
    <t>Ferry Road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</si>
</sst>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1"/>
      <name val="Aptos Narrow"/>
      <family val="2"/>
      <scheme val="minor"/>
    </font>
    <font>
      <sz val="8"/>
      <name val="Aptos Narrow"/>
      <family val="2"/>
      <scheme val="minor"/>
    </font>
  </fonts>
  <fills count="3">
    <fill>
      <patternFill patternType="none"/>
    </fill>
    <fill>
      <patternFill patternType="gray125"/>
    </fill>
    <fill>
      <patternFill patternType="solid">
        <fgColor theme="2" tint="-9.9978637043366805E-2"/>
        <bgColor indexed="64"/>
      </patternFill>
    </fill>
  </fills>
  <borders count="2">
    <border>
      <left/>
      <right/>
      <top/>
      <bottom/>
      <diagonal/>
    </border>
    <border>
      <left style="medium">
        <color indexed="64"/>
      </left>
      <right/>
      <top style="medium">
        <color indexed="64"/>
      </top>
      <bottom style="medium">
        <color indexed="64"/>
      </bottom>
      <diagonal/>
    </border>
  </borders>
  <cellStyleXfs count="1">
    <xf numFmtId="0" fontId="0" fillId="0" borderId="0"/>
  </cellStyleXfs>
  <cellXfs count="12">
    <xf numFmtId="0" fontId="0" fillId="0" borderId="0" xfId="0"/>
    <xf numFmtId="0" fontId="1" fillId="0" borderId="0" xfId="0" applyFont="1" applyAlignment="1">
      <alignment horizontal="center" vertical="center" wrapText="1"/>
    </xf>
    <xf numFmtId="0" fontId="1" fillId="0" borderId="0" xfId="0" applyFont="1"/>
    <xf numFmtId="0" fontId="0" fillId="0" borderId="0" xfId="0" applyAlignment="1">
      <alignment vertical="center" wrapText="1"/>
    </xf>
    <xf numFmtId="0" fontId="0" fillId="0" borderId="0" xfId="0" applyAlignment="1">
      <alignment horizontal="left"/>
    </xf>
    <xf numFmtId="2" fontId="0" fillId="0" borderId="0" xfId="0" applyNumberFormat="1"/>
    <xf numFmtId="0" fontId="0" fillId="0" borderId="0" xfId="0" pivotButton="1" applyAlignment="1">
      <alignment wrapText="1"/>
    </xf>
    <xf numFmtId="0" fontId="0" fillId="0" borderId="0" xfId="0" applyAlignment="1">
      <alignment wrapText="1"/>
    </xf>
    <xf numFmtId="0" fontId="0" fillId="0" borderId="0" xfId="0" pivotButton="1"/>
    <xf numFmtId="0" fontId="0" fillId="2" borderId="0" xfId="0" applyFill="1" applyAlignment="1">
      <alignment horizontal="center"/>
    </xf>
    <xf numFmtId="0" fontId="0" fillId="2" borderId="1" xfId="0" applyFill="1" applyBorder="1" applyAlignment="1">
      <alignment horizontal="center"/>
    </xf>
    <xf numFmtId="0" fontId="0" fillId="0" borderId="0" xfId="0" applyNumberFormat="1"/>
  </cellXfs>
  <cellStyles count="1">
    <cellStyle name="Normal" xfId="0" builtinId="0"/>
  </cellStyles>
  <dxfs count="41">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font>
        <b/>
        <i val="0"/>
        <strike val="0"/>
        <condense val="0"/>
        <extend val="0"/>
        <outline val="0"/>
        <shadow val="0"/>
        <u val="none"/>
        <vertAlign val="baseline"/>
        <sz val="11"/>
        <color theme="1"/>
        <name val="Aptos Narrow"/>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5.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8.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microsoft.com/office/2007/relationships/slicerCache" Target="slicerCaches/slicerCache7.xml"/><Relationship Id="rId10" Type="http://schemas.microsoft.com/office/2007/relationships/slicerCache" Target="slicerCaches/slicerCache2.xml"/><Relationship Id="rId19" Type="http://schemas.openxmlformats.org/officeDocument/2006/relationships/sharedStrings" Target="sharedStrings.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[Maintenance.xlsm]Pivot!PivotTable3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Maintenance</a:t>
            </a:r>
            <a:r>
              <a:rPr lang="en-GB" baseline="0"/>
              <a:t> Requirement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c:f>
              <c:strCache>
                <c:ptCount val="1"/>
                <c:pt idx="0">
                  <c:v>Sum of Weekly Maintenance</c:v>
                </c:pt>
              </c:strCache>
            </c:strRef>
          </c:tx>
          <c:spPr>
            <a:solidFill>
              <a:schemeClr val="accent1"/>
            </a:solidFill>
            <a:ln>
              <a:noFill/>
            </a:ln>
            <a:effectLst/>
          </c:spPr>
          <c:invertIfNegative val="0"/>
          <c:cat>
            <c:strRef>
              <c:f>Pivot!$A$2:$A$7</c:f>
              <c:strCache>
                <c:ptCount val="5"/>
                <c:pt idx="0">
                  <c:v>Edinburgh Academy</c:v>
                </c:pt>
                <c:pt idx="1">
                  <c:v>Milton Road East</c:v>
                </c:pt>
                <c:pt idx="2">
                  <c:v>Newhaven Road</c:v>
                </c:pt>
                <c:pt idx="3">
                  <c:v>Relugas Road</c:v>
                </c:pt>
                <c:pt idx="4">
                  <c:v>Springwell Medical Centre</c:v>
                </c:pt>
              </c:strCache>
            </c:strRef>
          </c:cat>
          <c:val>
            <c:numRef>
              <c:f>Pivot!$B$2:$B$7</c:f>
              <c:numCache>
                <c:formatCode>General</c:formatCode>
                <c:ptCount val="5"/>
                <c:pt idx="0">
                  <c:v>3.3333333333333335</c:v>
                </c:pt>
                <c:pt idx="1">
                  <c:v>3.3333333333333335</c:v>
                </c:pt>
                <c:pt idx="2">
                  <c:v>5</c:v>
                </c:pt>
                <c:pt idx="3">
                  <c:v>3.3333333333333242</c:v>
                </c:pt>
                <c:pt idx="4">
                  <c:v>1.6666666666667613</c:v>
                </c:pt>
              </c:numCache>
            </c:numRef>
          </c:val>
          <c:extLst>
            <c:ext xmlns:c16="http://schemas.microsoft.com/office/drawing/2014/chart" uri="{C3380CC4-5D6E-409C-BE32-E72D297353CC}">
              <c16:uniqueId val="{00000000-9EFA-49A8-874B-6C18F003BC39}"/>
            </c:ext>
          </c:extLst>
        </c:ser>
        <c:ser>
          <c:idx val="1"/>
          <c:order val="1"/>
          <c:tx>
            <c:strRef>
              <c:f>Pivot!$C$1</c:f>
              <c:strCache>
                <c:ptCount val="1"/>
                <c:pt idx="0">
                  <c:v>Sum of Monthly Maintenance</c:v>
                </c:pt>
              </c:strCache>
            </c:strRef>
          </c:tx>
          <c:spPr>
            <a:solidFill>
              <a:schemeClr val="accent2"/>
            </a:solidFill>
            <a:ln>
              <a:noFill/>
            </a:ln>
            <a:effectLst/>
          </c:spPr>
          <c:invertIfNegative val="0"/>
          <c:cat>
            <c:strRef>
              <c:f>Pivot!$A$2:$A$7</c:f>
              <c:strCache>
                <c:ptCount val="5"/>
                <c:pt idx="0">
                  <c:v>Edinburgh Academy</c:v>
                </c:pt>
                <c:pt idx="1">
                  <c:v>Milton Road East</c:v>
                </c:pt>
                <c:pt idx="2">
                  <c:v>Newhaven Road</c:v>
                </c:pt>
                <c:pt idx="3">
                  <c:v>Relugas Road</c:v>
                </c:pt>
                <c:pt idx="4">
                  <c:v>Springwell Medical Centre</c:v>
                </c:pt>
              </c:strCache>
            </c:strRef>
          </c:cat>
          <c:val>
            <c:numRef>
              <c:f>Pivot!$C$2:$C$7</c:f>
              <c:numCache>
                <c:formatCode>General</c:formatCode>
                <c:ptCount val="5"/>
                <c:pt idx="0">
                  <c:v>10</c:v>
                </c:pt>
                <c:pt idx="1">
                  <c:v>10</c:v>
                </c:pt>
                <c:pt idx="2">
                  <c:v>15</c:v>
                </c:pt>
                <c:pt idx="3">
                  <c:v>9.9999999999999734</c:v>
                </c:pt>
                <c:pt idx="4">
                  <c:v>5.0000000000002842</c:v>
                </c:pt>
              </c:numCache>
            </c:numRef>
          </c:val>
          <c:extLst>
            <c:ext xmlns:c16="http://schemas.microsoft.com/office/drawing/2014/chart" uri="{C3380CC4-5D6E-409C-BE32-E72D297353CC}">
              <c16:uniqueId val="{00000001-9EFA-49A8-874B-6C18F003BC39}"/>
            </c:ext>
          </c:extLst>
        </c:ser>
        <c:ser>
          <c:idx val="2"/>
          <c:order val="2"/>
          <c:tx>
            <c:strRef>
              <c:f>Pivot!$D$1</c:f>
              <c:strCache>
                <c:ptCount val="1"/>
                <c:pt idx="0">
                  <c:v>Sum of Biannual Maintenance</c:v>
                </c:pt>
              </c:strCache>
            </c:strRef>
          </c:tx>
          <c:spPr>
            <a:solidFill>
              <a:schemeClr val="accent3"/>
            </a:solidFill>
            <a:ln>
              <a:noFill/>
            </a:ln>
            <a:effectLst/>
          </c:spPr>
          <c:invertIfNegative val="0"/>
          <c:cat>
            <c:strRef>
              <c:f>Pivot!$A$2:$A$7</c:f>
              <c:strCache>
                <c:ptCount val="5"/>
                <c:pt idx="0">
                  <c:v>Edinburgh Academy</c:v>
                </c:pt>
                <c:pt idx="1">
                  <c:v>Milton Road East</c:v>
                </c:pt>
                <c:pt idx="2">
                  <c:v>Newhaven Road</c:v>
                </c:pt>
                <c:pt idx="3">
                  <c:v>Relugas Road</c:v>
                </c:pt>
                <c:pt idx="4">
                  <c:v>Springwell Medical Centre</c:v>
                </c:pt>
              </c:strCache>
            </c:strRef>
          </c:cat>
          <c:val>
            <c:numRef>
              <c:f>Pivot!$D$2:$D$7</c:f>
              <c:numCache>
                <c:formatCode>General</c:formatCode>
                <c:ptCount val="5"/>
                <c:pt idx="0">
                  <c:v>20</c:v>
                </c:pt>
                <c:pt idx="1">
                  <c:v>20</c:v>
                </c:pt>
                <c:pt idx="2">
                  <c:v>30</c:v>
                </c:pt>
                <c:pt idx="3">
                  <c:v>19.999999999999947</c:v>
                </c:pt>
                <c:pt idx="4">
                  <c:v>10.000000000000568</c:v>
                </c:pt>
              </c:numCache>
            </c:numRef>
          </c:val>
          <c:extLst>
            <c:ext xmlns:c16="http://schemas.microsoft.com/office/drawing/2014/chart" uri="{C3380CC4-5D6E-409C-BE32-E72D297353CC}">
              <c16:uniqueId val="{00000002-9EFA-49A8-874B-6C18F003BC39}"/>
            </c:ext>
          </c:extLst>
        </c:ser>
        <c:ser>
          <c:idx val="3"/>
          <c:order val="3"/>
          <c:tx>
            <c:strRef>
              <c:f>Pivot!$E$1</c:f>
              <c:strCache>
                <c:ptCount val="1"/>
                <c:pt idx="0">
                  <c:v>Sum of Annual Maintenance</c:v>
                </c:pt>
              </c:strCache>
            </c:strRef>
          </c:tx>
          <c:spPr>
            <a:solidFill>
              <a:schemeClr val="accent4"/>
            </a:solidFill>
            <a:ln>
              <a:noFill/>
            </a:ln>
            <a:effectLst/>
          </c:spPr>
          <c:invertIfNegative val="0"/>
          <c:cat>
            <c:strRef>
              <c:f>Pivot!$A$2:$A$7</c:f>
              <c:strCache>
                <c:ptCount val="5"/>
                <c:pt idx="0">
                  <c:v>Edinburgh Academy</c:v>
                </c:pt>
                <c:pt idx="1">
                  <c:v>Milton Road East</c:v>
                </c:pt>
                <c:pt idx="2">
                  <c:v>Newhaven Road</c:v>
                </c:pt>
                <c:pt idx="3">
                  <c:v>Relugas Road</c:v>
                </c:pt>
                <c:pt idx="4">
                  <c:v>Springwell Medical Centre</c:v>
                </c:pt>
              </c:strCache>
            </c:strRef>
          </c:cat>
          <c:val>
            <c:numRef>
              <c:f>Pivot!$E$2:$E$7</c:f>
              <c:numCache>
                <c:formatCode>General</c:formatCode>
                <c:ptCount val="5"/>
                <c:pt idx="0">
                  <c:v>40</c:v>
                </c:pt>
                <c:pt idx="1">
                  <c:v>40</c:v>
                </c:pt>
                <c:pt idx="2">
                  <c:v>60</c:v>
                </c:pt>
                <c:pt idx="3">
                  <c:v>39.999999999999893</c:v>
                </c:pt>
                <c:pt idx="4">
                  <c:v>20.000000000001137</c:v>
                </c:pt>
              </c:numCache>
            </c:numRef>
          </c:val>
          <c:extLst>
            <c:ext xmlns:c16="http://schemas.microsoft.com/office/drawing/2014/chart" uri="{C3380CC4-5D6E-409C-BE32-E72D297353CC}">
              <c16:uniqueId val="{00000003-9EFA-49A8-874B-6C18F003BC39}"/>
            </c:ext>
          </c:extLst>
        </c:ser>
        <c:ser>
          <c:idx val="4"/>
          <c:order val="4"/>
          <c:tx>
            <c:strRef>
              <c:f>Pivot!$F$1</c:f>
              <c:strCache>
                <c:ptCount val="1"/>
                <c:pt idx="0">
                  <c:v>Sum of Total Maintenance Time</c:v>
                </c:pt>
              </c:strCache>
            </c:strRef>
          </c:tx>
          <c:spPr>
            <a:solidFill>
              <a:schemeClr val="accent5"/>
            </a:solidFill>
            <a:ln>
              <a:noFill/>
            </a:ln>
            <a:effectLst/>
          </c:spPr>
          <c:invertIfNegative val="0"/>
          <c:cat>
            <c:strRef>
              <c:f>Pivot!$A$2:$A$7</c:f>
              <c:strCache>
                <c:ptCount val="5"/>
                <c:pt idx="0">
                  <c:v>Edinburgh Academy</c:v>
                </c:pt>
                <c:pt idx="1">
                  <c:v>Milton Road East</c:v>
                </c:pt>
                <c:pt idx="2">
                  <c:v>Newhaven Road</c:v>
                </c:pt>
                <c:pt idx="3">
                  <c:v>Relugas Road</c:v>
                </c:pt>
                <c:pt idx="4">
                  <c:v>Springwell Medical Centre</c:v>
                </c:pt>
              </c:strCache>
            </c:strRef>
          </c:cat>
          <c:val>
            <c:numRef>
              <c:f>Pivot!$F$2:$F$7</c:f>
              <c:numCache>
                <c:formatCode>0.00</c:formatCode>
                <c:ptCount val="5"/>
                <c:pt idx="0">
                  <c:v>73.333333333333343</c:v>
                </c:pt>
                <c:pt idx="1">
                  <c:v>73.333333333333343</c:v>
                </c:pt>
                <c:pt idx="2">
                  <c:v>110</c:v>
                </c:pt>
                <c:pt idx="3">
                  <c:v>73.333333333333144</c:v>
                </c:pt>
                <c:pt idx="4">
                  <c:v>36.666666666668746</c:v>
                </c:pt>
              </c:numCache>
            </c:numRef>
          </c:val>
          <c:extLst>
            <c:ext xmlns:c16="http://schemas.microsoft.com/office/drawing/2014/chart" uri="{C3380CC4-5D6E-409C-BE32-E72D297353CC}">
              <c16:uniqueId val="{00000004-9EFA-49A8-874B-6C18F003BC39}"/>
            </c:ext>
          </c:extLst>
        </c:ser>
        <c:dLbls>
          <c:showLegendKey val="0"/>
          <c:showVal val="0"/>
          <c:showCatName val="0"/>
          <c:showSerName val="0"/>
          <c:showPercent val="0"/>
          <c:showBubbleSize val="0"/>
        </c:dLbls>
        <c:gapWidth val="219"/>
        <c:overlap val="-27"/>
        <c:axId val="351898031"/>
        <c:axId val="351898991"/>
      </c:barChart>
      <c:catAx>
        <c:axId val="3518980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Station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898991"/>
        <c:crosses val="autoZero"/>
        <c:auto val="1"/>
        <c:lblAlgn val="ctr"/>
        <c:lblOffset val="100"/>
        <c:noMultiLvlLbl val="0"/>
      </c:catAx>
      <c:valAx>
        <c:axId val="3518989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Time</a:t>
                </a:r>
                <a:r>
                  <a:rPr lang="en-GB" baseline="0"/>
                  <a:t> (hours)</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8980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[Maintenance.xlsm]Bike Stations!PivotTable1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Number of Bikes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'Bike Stations'!$H$1</c:f>
              <c:strCache>
                <c:ptCount val="1"/>
                <c:pt idx="0">
                  <c:v>Total</c:v>
                </c:pt>
              </c:strCache>
            </c:strRef>
          </c:tx>
          <c:spPr>
            <a:solidFill>
              <a:schemeClr val="accent1"/>
            </a:solidFill>
            <a:ln>
              <a:noFill/>
            </a:ln>
            <a:effectLst/>
          </c:spPr>
          <c:invertIfNegative val="0"/>
          <c:cat>
            <c:strRef>
              <c:f>'Bike Stations'!$G$2:$G$16</c:f>
              <c:strCache>
                <c:ptCount val="14"/>
                <c:pt idx="0">
                  <c:v>Saughton Road North</c:v>
                </c:pt>
                <c:pt idx="1">
                  <c:v>Woodburn Street</c:v>
                </c:pt>
                <c:pt idx="2">
                  <c:v>Tolbooth Wynd</c:v>
                </c:pt>
                <c:pt idx="3">
                  <c:v>Newmills Crescent</c:v>
                </c:pt>
                <c:pt idx="4">
                  <c:v>West Holmes Gardens</c:v>
                </c:pt>
                <c:pt idx="5">
                  <c:v>Craigcrook Square</c:v>
                </c:pt>
                <c:pt idx="6">
                  <c:v>Morningside Road</c:v>
                </c:pt>
                <c:pt idx="7">
                  <c:v>Moredun Dykes Road</c:v>
                </c:pt>
                <c:pt idx="8">
                  <c:v>Prospect Bank Road</c:v>
                </c:pt>
                <c:pt idx="9">
                  <c:v>Lasswade Road</c:v>
                </c:pt>
                <c:pt idx="10">
                  <c:v>Spylaw Bank Road</c:v>
                </c:pt>
                <c:pt idx="11">
                  <c:v>Lothian Road</c:v>
                </c:pt>
                <c:pt idx="12">
                  <c:v>Cowden Crescent</c:v>
                </c:pt>
                <c:pt idx="13">
                  <c:v>Grange Road</c:v>
                </c:pt>
              </c:strCache>
            </c:strRef>
          </c:cat>
          <c:val>
            <c:numRef>
              <c:f>'Bike Stations'!$H$2:$H$16</c:f>
              <c:numCache>
                <c:formatCode>General</c:formatCode>
                <c:ptCount val="14"/>
                <c:pt idx="0">
                  <c:v>6</c:v>
                </c:pt>
                <c:pt idx="1">
                  <c:v>6</c:v>
                </c:pt>
                <c:pt idx="2">
                  <c:v>4</c:v>
                </c:pt>
                <c:pt idx="3">
                  <c:v>3</c:v>
                </c:pt>
                <c:pt idx="4">
                  <c:v>4</c:v>
                </c:pt>
                <c:pt idx="5">
                  <c:v>6</c:v>
                </c:pt>
                <c:pt idx="6">
                  <c:v>2</c:v>
                </c:pt>
                <c:pt idx="7">
                  <c:v>6</c:v>
                </c:pt>
                <c:pt idx="8">
                  <c:v>4</c:v>
                </c:pt>
                <c:pt idx="9">
                  <c:v>6</c:v>
                </c:pt>
                <c:pt idx="10">
                  <c:v>6</c:v>
                </c:pt>
                <c:pt idx="11">
                  <c:v>6</c:v>
                </c:pt>
                <c:pt idx="12">
                  <c:v>6</c:v>
                </c:pt>
                <c:pt idx="13">
                  <c:v>6</c:v>
                </c:pt>
              </c:numCache>
            </c:numRef>
          </c:val>
          <c:extLst>
            <c:ext xmlns:c16="http://schemas.microsoft.com/office/drawing/2014/chart" uri="{C3380CC4-5D6E-409C-BE32-E72D297353CC}">
              <c16:uniqueId val="{00000000-7490-41A5-AC28-626A2CDE564B}"/>
            </c:ext>
          </c:extLst>
        </c:ser>
        <c:dLbls>
          <c:showLegendKey val="0"/>
          <c:showVal val="0"/>
          <c:showCatName val="0"/>
          <c:showSerName val="0"/>
          <c:showPercent val="0"/>
          <c:showBubbleSize val="0"/>
        </c:dLbls>
        <c:gapWidth val="219"/>
        <c:overlap val="-27"/>
        <c:axId val="1189816239"/>
        <c:axId val="1189814319"/>
      </c:barChart>
      <c:catAx>
        <c:axId val="1189816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814319"/>
        <c:crosses val="autoZero"/>
        <c:auto val="1"/>
        <c:lblAlgn val="ctr"/>
        <c:lblOffset val="100"/>
        <c:noMultiLvlLbl val="0"/>
      </c:catAx>
      <c:valAx>
        <c:axId val="11898143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8162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[Maintenance.xlsm]Bike Stations!PivotTable1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Number of Bikes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'Bike Stations'!$H$1</c:f>
              <c:strCache>
                <c:ptCount val="1"/>
                <c:pt idx="0">
                  <c:v>Total</c:v>
                </c:pt>
              </c:strCache>
            </c:strRef>
          </c:tx>
          <c:spPr>
            <a:solidFill>
              <a:schemeClr val="accent1"/>
            </a:solidFill>
            <a:ln>
              <a:noFill/>
            </a:ln>
            <a:effectLst/>
          </c:spPr>
          <c:invertIfNegative val="0"/>
          <c:cat>
            <c:strRef>
              <c:f>'Bike Stations'!$G$2:$G$16</c:f>
              <c:strCache>
                <c:ptCount val="14"/>
                <c:pt idx="0">
                  <c:v>Saughton Road North</c:v>
                </c:pt>
                <c:pt idx="1">
                  <c:v>Woodburn Street</c:v>
                </c:pt>
                <c:pt idx="2">
                  <c:v>Tolbooth Wynd</c:v>
                </c:pt>
                <c:pt idx="3">
                  <c:v>Newmills Crescent</c:v>
                </c:pt>
                <c:pt idx="4">
                  <c:v>West Holmes Gardens</c:v>
                </c:pt>
                <c:pt idx="5">
                  <c:v>Craigcrook Square</c:v>
                </c:pt>
                <c:pt idx="6">
                  <c:v>Morningside Road</c:v>
                </c:pt>
                <c:pt idx="7">
                  <c:v>Moredun Dykes Road</c:v>
                </c:pt>
                <c:pt idx="8">
                  <c:v>Prospect Bank Road</c:v>
                </c:pt>
                <c:pt idx="9">
                  <c:v>Lasswade Road</c:v>
                </c:pt>
                <c:pt idx="10">
                  <c:v>Spylaw Bank Road</c:v>
                </c:pt>
                <c:pt idx="11">
                  <c:v>Lothian Road</c:v>
                </c:pt>
                <c:pt idx="12">
                  <c:v>Cowden Crescent</c:v>
                </c:pt>
                <c:pt idx="13">
                  <c:v>Grange Road</c:v>
                </c:pt>
              </c:strCache>
            </c:strRef>
          </c:cat>
          <c:val>
            <c:numRef>
              <c:f>'Bike Stations'!$H$2:$H$16</c:f>
              <c:numCache>
                <c:formatCode>General</c:formatCode>
                <c:ptCount val="14"/>
                <c:pt idx="0">
                  <c:v>6</c:v>
                </c:pt>
                <c:pt idx="1">
                  <c:v>6</c:v>
                </c:pt>
                <c:pt idx="2">
                  <c:v>4</c:v>
                </c:pt>
                <c:pt idx="3">
                  <c:v>3</c:v>
                </c:pt>
                <c:pt idx="4">
                  <c:v>4</c:v>
                </c:pt>
                <c:pt idx="5">
                  <c:v>6</c:v>
                </c:pt>
                <c:pt idx="6">
                  <c:v>2</c:v>
                </c:pt>
                <c:pt idx="7">
                  <c:v>6</c:v>
                </c:pt>
                <c:pt idx="8">
                  <c:v>4</c:v>
                </c:pt>
                <c:pt idx="9">
                  <c:v>6</c:v>
                </c:pt>
                <c:pt idx="10">
                  <c:v>6</c:v>
                </c:pt>
                <c:pt idx="11">
                  <c:v>6</c:v>
                </c:pt>
                <c:pt idx="12">
                  <c:v>6</c:v>
                </c:pt>
                <c:pt idx="13">
                  <c:v>6</c:v>
                </c:pt>
              </c:numCache>
            </c:numRef>
          </c:val>
          <c:extLst>
            <c:ext xmlns:c16="http://schemas.microsoft.com/office/drawing/2014/chart" uri="{C3380CC4-5D6E-409C-BE32-E72D297353CC}">
              <c16:uniqueId val="{00000000-C820-4CD5-8EF1-A446568CE5EF}"/>
            </c:ext>
          </c:extLst>
        </c:ser>
        <c:dLbls>
          <c:showLegendKey val="0"/>
          <c:showVal val="0"/>
          <c:showCatName val="0"/>
          <c:showSerName val="0"/>
          <c:showPercent val="0"/>
          <c:showBubbleSize val="0"/>
        </c:dLbls>
        <c:gapWidth val="219"/>
        <c:overlap val="-27"/>
        <c:axId val="1189816239"/>
        <c:axId val="1189814319"/>
      </c:barChart>
      <c:catAx>
        <c:axId val="1189816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814319"/>
        <c:crosses val="autoZero"/>
        <c:auto val="1"/>
        <c:lblAlgn val="ctr"/>
        <c:lblOffset val="100"/>
        <c:noMultiLvlLbl val="0"/>
      </c:catAx>
      <c:valAx>
        <c:axId val="11898143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8162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[Maintenance.xlsm]Pivot!PivotTable3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Maintenance</a:t>
            </a:r>
            <a:r>
              <a:rPr lang="en-GB" baseline="0"/>
              <a:t> Requirement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c:f>
              <c:strCache>
                <c:ptCount val="1"/>
                <c:pt idx="0">
                  <c:v>Sum of Weekly Maintenance</c:v>
                </c:pt>
              </c:strCache>
            </c:strRef>
          </c:tx>
          <c:spPr>
            <a:solidFill>
              <a:schemeClr val="accent1"/>
            </a:solidFill>
            <a:ln>
              <a:noFill/>
            </a:ln>
            <a:effectLst/>
          </c:spPr>
          <c:invertIfNegative val="0"/>
          <c:cat>
            <c:strRef>
              <c:f>Pivot!$A$2:$A$7</c:f>
              <c:strCache>
                <c:ptCount val="5"/>
                <c:pt idx="0">
                  <c:v>Edinburgh Academy</c:v>
                </c:pt>
                <c:pt idx="1">
                  <c:v>Milton Road East</c:v>
                </c:pt>
                <c:pt idx="2">
                  <c:v>Newhaven Road</c:v>
                </c:pt>
                <c:pt idx="3">
                  <c:v>Relugas Road</c:v>
                </c:pt>
                <c:pt idx="4">
                  <c:v>Springwell Medical Centre</c:v>
                </c:pt>
              </c:strCache>
            </c:strRef>
          </c:cat>
          <c:val>
            <c:numRef>
              <c:f>Pivot!$B$2:$B$7</c:f>
              <c:numCache>
                <c:formatCode>General</c:formatCode>
                <c:ptCount val="5"/>
                <c:pt idx="0">
                  <c:v>3.3333333333333335</c:v>
                </c:pt>
                <c:pt idx="1">
                  <c:v>3.3333333333333335</c:v>
                </c:pt>
                <c:pt idx="2">
                  <c:v>5</c:v>
                </c:pt>
                <c:pt idx="3">
                  <c:v>3.3333333333333242</c:v>
                </c:pt>
                <c:pt idx="4">
                  <c:v>1.6666666666667613</c:v>
                </c:pt>
              </c:numCache>
            </c:numRef>
          </c:val>
          <c:extLst>
            <c:ext xmlns:c16="http://schemas.microsoft.com/office/drawing/2014/chart" uri="{C3380CC4-5D6E-409C-BE32-E72D297353CC}">
              <c16:uniqueId val="{00000000-0160-4449-A273-12EF270367BC}"/>
            </c:ext>
          </c:extLst>
        </c:ser>
        <c:ser>
          <c:idx val="1"/>
          <c:order val="1"/>
          <c:tx>
            <c:strRef>
              <c:f>Pivot!$C$1</c:f>
              <c:strCache>
                <c:ptCount val="1"/>
                <c:pt idx="0">
                  <c:v>Sum of Monthly Maintenance</c:v>
                </c:pt>
              </c:strCache>
            </c:strRef>
          </c:tx>
          <c:spPr>
            <a:solidFill>
              <a:schemeClr val="accent2"/>
            </a:solidFill>
            <a:ln>
              <a:noFill/>
            </a:ln>
            <a:effectLst/>
          </c:spPr>
          <c:invertIfNegative val="0"/>
          <c:cat>
            <c:strRef>
              <c:f>Pivot!$A$2:$A$7</c:f>
              <c:strCache>
                <c:ptCount val="5"/>
                <c:pt idx="0">
                  <c:v>Edinburgh Academy</c:v>
                </c:pt>
                <c:pt idx="1">
                  <c:v>Milton Road East</c:v>
                </c:pt>
                <c:pt idx="2">
                  <c:v>Newhaven Road</c:v>
                </c:pt>
                <c:pt idx="3">
                  <c:v>Relugas Road</c:v>
                </c:pt>
                <c:pt idx="4">
                  <c:v>Springwell Medical Centre</c:v>
                </c:pt>
              </c:strCache>
            </c:strRef>
          </c:cat>
          <c:val>
            <c:numRef>
              <c:f>Pivot!$C$2:$C$7</c:f>
              <c:numCache>
                <c:formatCode>General</c:formatCode>
                <c:ptCount val="5"/>
                <c:pt idx="0">
                  <c:v>10</c:v>
                </c:pt>
                <c:pt idx="1">
                  <c:v>10</c:v>
                </c:pt>
                <c:pt idx="2">
                  <c:v>15</c:v>
                </c:pt>
                <c:pt idx="3">
                  <c:v>9.9999999999999734</c:v>
                </c:pt>
                <c:pt idx="4">
                  <c:v>5.0000000000002842</c:v>
                </c:pt>
              </c:numCache>
            </c:numRef>
          </c:val>
          <c:extLst>
            <c:ext xmlns:c16="http://schemas.microsoft.com/office/drawing/2014/chart" uri="{C3380CC4-5D6E-409C-BE32-E72D297353CC}">
              <c16:uniqueId val="{00000001-0160-4449-A273-12EF270367BC}"/>
            </c:ext>
          </c:extLst>
        </c:ser>
        <c:ser>
          <c:idx val="2"/>
          <c:order val="2"/>
          <c:tx>
            <c:strRef>
              <c:f>Pivot!$D$1</c:f>
              <c:strCache>
                <c:ptCount val="1"/>
                <c:pt idx="0">
                  <c:v>Sum of Biannual Maintenance</c:v>
                </c:pt>
              </c:strCache>
            </c:strRef>
          </c:tx>
          <c:spPr>
            <a:solidFill>
              <a:schemeClr val="accent3"/>
            </a:solidFill>
            <a:ln>
              <a:noFill/>
            </a:ln>
            <a:effectLst/>
          </c:spPr>
          <c:invertIfNegative val="0"/>
          <c:cat>
            <c:strRef>
              <c:f>Pivot!$A$2:$A$7</c:f>
              <c:strCache>
                <c:ptCount val="5"/>
                <c:pt idx="0">
                  <c:v>Edinburgh Academy</c:v>
                </c:pt>
                <c:pt idx="1">
                  <c:v>Milton Road East</c:v>
                </c:pt>
                <c:pt idx="2">
                  <c:v>Newhaven Road</c:v>
                </c:pt>
                <c:pt idx="3">
                  <c:v>Relugas Road</c:v>
                </c:pt>
                <c:pt idx="4">
                  <c:v>Springwell Medical Centre</c:v>
                </c:pt>
              </c:strCache>
            </c:strRef>
          </c:cat>
          <c:val>
            <c:numRef>
              <c:f>Pivot!$D$2:$D$7</c:f>
              <c:numCache>
                <c:formatCode>General</c:formatCode>
                <c:ptCount val="5"/>
                <c:pt idx="0">
                  <c:v>20</c:v>
                </c:pt>
                <c:pt idx="1">
                  <c:v>20</c:v>
                </c:pt>
                <c:pt idx="2">
                  <c:v>30</c:v>
                </c:pt>
                <c:pt idx="3">
                  <c:v>19.999999999999947</c:v>
                </c:pt>
                <c:pt idx="4">
                  <c:v>10.000000000000568</c:v>
                </c:pt>
              </c:numCache>
            </c:numRef>
          </c:val>
          <c:extLst>
            <c:ext xmlns:c16="http://schemas.microsoft.com/office/drawing/2014/chart" uri="{C3380CC4-5D6E-409C-BE32-E72D297353CC}">
              <c16:uniqueId val="{00000002-0160-4449-A273-12EF270367BC}"/>
            </c:ext>
          </c:extLst>
        </c:ser>
        <c:ser>
          <c:idx val="3"/>
          <c:order val="3"/>
          <c:tx>
            <c:strRef>
              <c:f>Pivot!$E$1</c:f>
              <c:strCache>
                <c:ptCount val="1"/>
                <c:pt idx="0">
                  <c:v>Sum of Annual Maintenance</c:v>
                </c:pt>
              </c:strCache>
            </c:strRef>
          </c:tx>
          <c:spPr>
            <a:solidFill>
              <a:schemeClr val="accent4"/>
            </a:solidFill>
            <a:ln>
              <a:noFill/>
            </a:ln>
            <a:effectLst/>
          </c:spPr>
          <c:invertIfNegative val="0"/>
          <c:cat>
            <c:strRef>
              <c:f>Pivot!$A$2:$A$7</c:f>
              <c:strCache>
                <c:ptCount val="5"/>
                <c:pt idx="0">
                  <c:v>Edinburgh Academy</c:v>
                </c:pt>
                <c:pt idx="1">
                  <c:v>Milton Road East</c:v>
                </c:pt>
                <c:pt idx="2">
                  <c:v>Newhaven Road</c:v>
                </c:pt>
                <c:pt idx="3">
                  <c:v>Relugas Road</c:v>
                </c:pt>
                <c:pt idx="4">
                  <c:v>Springwell Medical Centre</c:v>
                </c:pt>
              </c:strCache>
            </c:strRef>
          </c:cat>
          <c:val>
            <c:numRef>
              <c:f>Pivot!$E$2:$E$7</c:f>
              <c:numCache>
                <c:formatCode>General</c:formatCode>
                <c:ptCount val="5"/>
                <c:pt idx="0">
                  <c:v>40</c:v>
                </c:pt>
                <c:pt idx="1">
                  <c:v>40</c:v>
                </c:pt>
                <c:pt idx="2">
                  <c:v>60</c:v>
                </c:pt>
                <c:pt idx="3">
                  <c:v>39.999999999999893</c:v>
                </c:pt>
                <c:pt idx="4">
                  <c:v>20.000000000001137</c:v>
                </c:pt>
              </c:numCache>
            </c:numRef>
          </c:val>
          <c:extLst>
            <c:ext xmlns:c16="http://schemas.microsoft.com/office/drawing/2014/chart" uri="{C3380CC4-5D6E-409C-BE32-E72D297353CC}">
              <c16:uniqueId val="{00000003-0160-4449-A273-12EF270367BC}"/>
            </c:ext>
          </c:extLst>
        </c:ser>
        <c:ser>
          <c:idx val="4"/>
          <c:order val="4"/>
          <c:tx>
            <c:strRef>
              <c:f>Pivot!$F$1</c:f>
              <c:strCache>
                <c:ptCount val="1"/>
                <c:pt idx="0">
                  <c:v>Sum of Total Maintenance Time</c:v>
                </c:pt>
              </c:strCache>
            </c:strRef>
          </c:tx>
          <c:spPr>
            <a:solidFill>
              <a:schemeClr val="accent5"/>
            </a:solidFill>
            <a:ln>
              <a:noFill/>
            </a:ln>
            <a:effectLst/>
          </c:spPr>
          <c:invertIfNegative val="0"/>
          <c:cat>
            <c:strRef>
              <c:f>Pivot!$A$2:$A$7</c:f>
              <c:strCache>
                <c:ptCount val="5"/>
                <c:pt idx="0">
                  <c:v>Edinburgh Academy</c:v>
                </c:pt>
                <c:pt idx="1">
                  <c:v>Milton Road East</c:v>
                </c:pt>
                <c:pt idx="2">
                  <c:v>Newhaven Road</c:v>
                </c:pt>
                <c:pt idx="3">
                  <c:v>Relugas Road</c:v>
                </c:pt>
                <c:pt idx="4">
                  <c:v>Springwell Medical Centre</c:v>
                </c:pt>
              </c:strCache>
            </c:strRef>
          </c:cat>
          <c:val>
            <c:numRef>
              <c:f>Pivot!$F$2:$F$7</c:f>
              <c:numCache>
                <c:formatCode>0.00</c:formatCode>
                <c:ptCount val="5"/>
                <c:pt idx="0">
                  <c:v>73.333333333333343</c:v>
                </c:pt>
                <c:pt idx="1">
                  <c:v>73.333333333333343</c:v>
                </c:pt>
                <c:pt idx="2">
                  <c:v>110</c:v>
                </c:pt>
                <c:pt idx="3">
                  <c:v>73.333333333333144</c:v>
                </c:pt>
                <c:pt idx="4">
                  <c:v>36.666666666668746</c:v>
                </c:pt>
              </c:numCache>
            </c:numRef>
          </c:val>
          <c:extLst>
            <c:ext xmlns:c16="http://schemas.microsoft.com/office/drawing/2014/chart" uri="{C3380CC4-5D6E-409C-BE32-E72D297353CC}">
              <c16:uniqueId val="{00000004-0160-4449-A273-12EF270367BC}"/>
            </c:ext>
          </c:extLst>
        </c:ser>
        <c:dLbls>
          <c:showLegendKey val="0"/>
          <c:showVal val="0"/>
          <c:showCatName val="0"/>
          <c:showSerName val="0"/>
          <c:showPercent val="0"/>
          <c:showBubbleSize val="0"/>
        </c:dLbls>
        <c:gapWidth val="219"/>
        <c:overlap val="-27"/>
        <c:axId val="351898031"/>
        <c:axId val="351898991"/>
      </c:barChart>
      <c:catAx>
        <c:axId val="3518980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Station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898991"/>
        <c:crosses val="autoZero"/>
        <c:auto val="1"/>
        <c:lblAlgn val="ctr"/>
        <c:lblOffset val="100"/>
        <c:noMultiLvlLbl val="0"/>
      </c:catAx>
      <c:valAx>
        <c:axId val="3518989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Time</a:t>
                </a:r>
                <a:r>
                  <a:rPr lang="en-GB" baseline="0"/>
                  <a:t> (hours)</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8980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10</xdr:col>
      <xdr:colOff>303317</xdr:colOff>
      <xdr:row>0</xdr:row>
      <xdr:rowOff>0</xdr:rowOff>
    </xdr:from>
    <xdr:to>
      <xdr:col>21</xdr:col>
      <xdr:colOff>266804</xdr:colOff>
      <xdr:row>21</xdr:row>
      <xdr:rowOff>138111</xdr:rowOff>
    </xdr:to>
    <xdr:graphicFrame macro="">
      <xdr:nvGraphicFramePr>
        <xdr:cNvPr id="3" name="Chart 2">
          <a:extLst>
            <a:ext uri="{FF2B5EF4-FFF2-40B4-BE49-F238E27FC236}">
              <a16:creationId xmlns:a16="http://schemas.microsoft.com/office/drawing/2014/main" id="{FF52B0D0-3125-46CD-8A82-09F4052D89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10</xdr:col>
      <xdr:colOff>312556</xdr:colOff>
      <xdr:row>21</xdr:row>
      <xdr:rowOff>145738</xdr:rowOff>
    </xdr:to>
    <xdr:graphicFrame macro="">
      <xdr:nvGraphicFramePr>
        <xdr:cNvPr id="4" name="Chart 3">
          <a:extLst>
            <a:ext uri="{FF2B5EF4-FFF2-40B4-BE49-F238E27FC236}">
              <a16:creationId xmlns:a16="http://schemas.microsoft.com/office/drawing/2014/main" id="{00A37510-C8E3-4607-B5A0-708EF69F4D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14052</xdr:colOff>
      <xdr:row>21</xdr:row>
      <xdr:rowOff>141677</xdr:rowOff>
    </xdr:from>
    <xdr:to>
      <xdr:col>3</xdr:col>
      <xdr:colOff>2939</xdr:colOff>
      <xdr:row>48</xdr:row>
      <xdr:rowOff>58705</xdr:rowOff>
    </xdr:to>
    <mc:AlternateContent xmlns:mc="http://schemas.openxmlformats.org/markup-compatibility/2006" xmlns:a14="http://schemas.microsoft.com/office/drawing/2010/main">
      <mc:Choice Requires="a14">
        <xdr:graphicFrame macro="">
          <xdr:nvGraphicFramePr>
            <xdr:cNvPr id="5" name="Station Name">
              <a:extLst>
                <a:ext uri="{FF2B5EF4-FFF2-40B4-BE49-F238E27FC236}">
                  <a16:creationId xmlns:a16="http://schemas.microsoft.com/office/drawing/2014/main" id="{3F535D83-C63D-C405-CE36-C1BDD991E0E4}"/>
                </a:ext>
              </a:extLst>
            </xdr:cNvPr>
            <xdr:cNvGraphicFramePr/>
          </xdr:nvGraphicFramePr>
          <xdr:xfrm>
            <a:off x="0" y="0"/>
            <a:ext cx="0" cy="0"/>
          </xdr:xfrm>
          <a:graphic>
            <a:graphicData uri="http://schemas.microsoft.com/office/drawing/2010/slicer">
              <sle:slicer xmlns:sle="http://schemas.microsoft.com/office/drawing/2010/slicer" name="Station Name"/>
            </a:graphicData>
          </a:graphic>
        </xdr:graphicFrame>
      </mc:Choice>
      <mc:Fallback xmlns="">
        <xdr:sp macro="" textlink="">
          <xdr:nvSpPr>
            <xdr:cNvPr id="0" name=""/>
            <xdr:cNvSpPr>
              <a:spLocks noTextEdit="1"/>
            </xdr:cNvSpPr>
          </xdr:nvSpPr>
          <xdr:spPr>
            <a:xfrm>
              <a:off x="14052" y="4078677"/>
              <a:ext cx="1805964" cy="265241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603770</xdr:colOff>
      <xdr:row>21</xdr:row>
      <xdr:rowOff>140291</xdr:rowOff>
    </xdr:from>
    <xdr:to>
      <xdr:col>5</xdr:col>
      <xdr:colOff>599008</xdr:colOff>
      <xdr:row>48</xdr:row>
      <xdr:rowOff>61801</xdr:rowOff>
    </xdr:to>
    <mc:AlternateContent xmlns:mc="http://schemas.openxmlformats.org/markup-compatibility/2006" xmlns:a14="http://schemas.microsoft.com/office/drawing/2010/main">
      <mc:Choice Requires="a14">
        <xdr:graphicFrame macro="">
          <xdr:nvGraphicFramePr>
            <xdr:cNvPr id="6" name="# Bikes">
              <a:extLst>
                <a:ext uri="{FF2B5EF4-FFF2-40B4-BE49-F238E27FC236}">
                  <a16:creationId xmlns:a16="http://schemas.microsoft.com/office/drawing/2014/main" id="{5F110E07-ED3E-A541-B402-DC27DF7D263A}"/>
                </a:ext>
              </a:extLst>
            </xdr:cNvPr>
            <xdr:cNvGraphicFramePr/>
          </xdr:nvGraphicFramePr>
          <xdr:xfrm>
            <a:off x="0" y="0"/>
            <a:ext cx="0" cy="0"/>
          </xdr:xfrm>
          <a:graphic>
            <a:graphicData uri="http://schemas.microsoft.com/office/drawing/2010/slicer">
              <sle:slicer xmlns:sle="http://schemas.microsoft.com/office/drawing/2010/slicer" name="# Bikes"/>
            </a:graphicData>
          </a:graphic>
        </xdr:graphicFrame>
      </mc:Choice>
      <mc:Fallback xmlns="">
        <xdr:sp macro="" textlink="">
          <xdr:nvSpPr>
            <xdr:cNvPr id="0" name=""/>
            <xdr:cNvSpPr>
              <a:spLocks noTextEdit="1"/>
            </xdr:cNvSpPr>
          </xdr:nvSpPr>
          <xdr:spPr>
            <a:xfrm>
              <a:off x="1815155" y="4077291"/>
              <a:ext cx="1812315" cy="265689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322022</xdr:colOff>
      <xdr:row>21</xdr:row>
      <xdr:rowOff>140729</xdr:rowOff>
    </xdr:from>
    <xdr:to>
      <xdr:col>13</xdr:col>
      <xdr:colOff>308281</xdr:colOff>
      <xdr:row>48</xdr:row>
      <xdr:rowOff>52</xdr:rowOff>
    </xdr:to>
    <mc:AlternateContent xmlns:mc="http://schemas.openxmlformats.org/markup-compatibility/2006" xmlns:a14="http://schemas.microsoft.com/office/drawing/2010/main">
      <mc:Choice Requires="a14">
        <xdr:graphicFrame macro="">
          <xdr:nvGraphicFramePr>
            <xdr:cNvPr id="7" name="Station Name 1">
              <a:extLst>
                <a:ext uri="{FF2B5EF4-FFF2-40B4-BE49-F238E27FC236}">
                  <a16:creationId xmlns:a16="http://schemas.microsoft.com/office/drawing/2014/main" id="{8592F576-4BE2-B656-39F2-455B1E07BBC5}"/>
                </a:ext>
              </a:extLst>
            </xdr:cNvPr>
            <xdr:cNvGraphicFramePr/>
          </xdr:nvGraphicFramePr>
          <xdr:xfrm>
            <a:off x="0" y="0"/>
            <a:ext cx="0" cy="0"/>
          </xdr:xfrm>
          <a:graphic>
            <a:graphicData uri="http://schemas.microsoft.com/office/drawing/2010/slicer">
              <sle:slicer xmlns:sle="http://schemas.microsoft.com/office/drawing/2010/slicer" name="Station Name 1"/>
            </a:graphicData>
          </a:graphic>
        </xdr:graphicFrame>
      </mc:Choice>
      <mc:Fallback xmlns="">
        <xdr:sp macro="" textlink="">
          <xdr:nvSpPr>
            <xdr:cNvPr id="0" name=""/>
            <xdr:cNvSpPr>
              <a:spLocks noTextEdit="1"/>
            </xdr:cNvSpPr>
          </xdr:nvSpPr>
          <xdr:spPr>
            <a:xfrm>
              <a:off x="6378945" y="4077729"/>
              <a:ext cx="1803336" cy="259470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316879</xdr:colOff>
      <xdr:row>21</xdr:row>
      <xdr:rowOff>144179</xdr:rowOff>
    </xdr:from>
    <xdr:to>
      <xdr:col>16</xdr:col>
      <xdr:colOff>303138</xdr:colOff>
      <xdr:row>48</xdr:row>
      <xdr:rowOff>3501</xdr:rowOff>
    </xdr:to>
    <mc:AlternateContent xmlns:mc="http://schemas.openxmlformats.org/markup-compatibility/2006" xmlns:a14="http://schemas.microsoft.com/office/drawing/2010/main">
      <mc:Choice Requires="a14">
        <xdr:graphicFrame macro="">
          <xdr:nvGraphicFramePr>
            <xdr:cNvPr id="8" name="Weekly Maintenance (hours)">
              <a:extLst>
                <a:ext uri="{FF2B5EF4-FFF2-40B4-BE49-F238E27FC236}">
                  <a16:creationId xmlns:a16="http://schemas.microsoft.com/office/drawing/2014/main" id="{9B9E0FC5-901D-CA23-9EFF-329AA26BFADE}"/>
                </a:ext>
              </a:extLst>
            </xdr:cNvPr>
            <xdr:cNvGraphicFramePr/>
          </xdr:nvGraphicFramePr>
          <xdr:xfrm>
            <a:off x="0" y="0"/>
            <a:ext cx="0" cy="0"/>
          </xdr:xfrm>
          <a:graphic>
            <a:graphicData uri="http://schemas.microsoft.com/office/drawing/2010/slicer">
              <sle:slicer xmlns:sle="http://schemas.microsoft.com/office/drawing/2010/slicer" name="Weekly Maintenance (hours)"/>
            </a:graphicData>
          </a:graphic>
        </xdr:graphicFrame>
      </mc:Choice>
      <mc:Fallback xmlns="">
        <xdr:sp macro="" textlink="">
          <xdr:nvSpPr>
            <xdr:cNvPr id="0" name=""/>
            <xdr:cNvSpPr>
              <a:spLocks noTextEdit="1"/>
            </xdr:cNvSpPr>
          </xdr:nvSpPr>
          <xdr:spPr>
            <a:xfrm>
              <a:off x="8190879" y="4081179"/>
              <a:ext cx="1803336" cy="259470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311855</xdr:colOff>
      <xdr:row>21</xdr:row>
      <xdr:rowOff>142303</xdr:rowOff>
    </xdr:from>
    <xdr:to>
      <xdr:col>19</xdr:col>
      <xdr:colOff>298113</xdr:colOff>
      <xdr:row>48</xdr:row>
      <xdr:rowOff>1626</xdr:rowOff>
    </xdr:to>
    <mc:AlternateContent xmlns:mc="http://schemas.openxmlformats.org/markup-compatibility/2006" xmlns:a14="http://schemas.microsoft.com/office/drawing/2010/main">
      <mc:Choice Requires="a14">
        <xdr:graphicFrame macro="">
          <xdr:nvGraphicFramePr>
            <xdr:cNvPr id="9" name="Monthly Maintenance (hours)">
              <a:extLst>
                <a:ext uri="{FF2B5EF4-FFF2-40B4-BE49-F238E27FC236}">
                  <a16:creationId xmlns:a16="http://schemas.microsoft.com/office/drawing/2014/main" id="{B3905E53-5ED4-4433-DF25-D38FA2AE5428}"/>
                </a:ext>
              </a:extLst>
            </xdr:cNvPr>
            <xdr:cNvGraphicFramePr/>
          </xdr:nvGraphicFramePr>
          <xdr:xfrm>
            <a:off x="0" y="0"/>
            <a:ext cx="0" cy="0"/>
          </xdr:xfrm>
          <a:graphic>
            <a:graphicData uri="http://schemas.microsoft.com/office/drawing/2010/slicer">
              <sle:slicer xmlns:sle="http://schemas.microsoft.com/office/drawing/2010/slicer" name="Monthly Maintenance (hours)"/>
            </a:graphicData>
          </a:graphic>
        </xdr:graphicFrame>
      </mc:Choice>
      <mc:Fallback xmlns="">
        <xdr:sp macro="" textlink="">
          <xdr:nvSpPr>
            <xdr:cNvPr id="0" name=""/>
            <xdr:cNvSpPr>
              <a:spLocks noTextEdit="1"/>
            </xdr:cNvSpPr>
          </xdr:nvSpPr>
          <xdr:spPr>
            <a:xfrm>
              <a:off x="10002932" y="4079303"/>
              <a:ext cx="1803335" cy="259470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286011</xdr:colOff>
      <xdr:row>21</xdr:row>
      <xdr:rowOff>145026</xdr:rowOff>
    </xdr:from>
    <xdr:to>
      <xdr:col>22</xdr:col>
      <xdr:colOff>272270</xdr:colOff>
      <xdr:row>48</xdr:row>
      <xdr:rowOff>4350</xdr:rowOff>
    </xdr:to>
    <mc:AlternateContent xmlns:mc="http://schemas.openxmlformats.org/markup-compatibility/2006" xmlns:a14="http://schemas.microsoft.com/office/drawing/2010/main">
      <mc:Choice Requires="a14">
        <xdr:graphicFrame macro="">
          <xdr:nvGraphicFramePr>
            <xdr:cNvPr id="10" name="Biannual Maintenance (hours)">
              <a:extLst>
                <a:ext uri="{FF2B5EF4-FFF2-40B4-BE49-F238E27FC236}">
                  <a16:creationId xmlns:a16="http://schemas.microsoft.com/office/drawing/2014/main" id="{A5FAB48B-B892-9DED-9DBE-54EF23E0EFDA}"/>
                </a:ext>
              </a:extLst>
            </xdr:cNvPr>
            <xdr:cNvGraphicFramePr/>
          </xdr:nvGraphicFramePr>
          <xdr:xfrm>
            <a:off x="0" y="0"/>
            <a:ext cx="0" cy="0"/>
          </xdr:xfrm>
          <a:graphic>
            <a:graphicData uri="http://schemas.microsoft.com/office/drawing/2010/slicer">
              <sle:slicer xmlns:sle="http://schemas.microsoft.com/office/drawing/2010/slicer" name="Biannual Maintenance (hours)"/>
            </a:graphicData>
          </a:graphic>
        </xdr:graphicFrame>
      </mc:Choice>
      <mc:Fallback xmlns="">
        <xdr:sp macro="" textlink="">
          <xdr:nvSpPr>
            <xdr:cNvPr id="0" name=""/>
            <xdr:cNvSpPr>
              <a:spLocks noTextEdit="1"/>
            </xdr:cNvSpPr>
          </xdr:nvSpPr>
          <xdr:spPr>
            <a:xfrm>
              <a:off x="11794165" y="4082026"/>
              <a:ext cx="1803336" cy="259470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267358</xdr:colOff>
      <xdr:row>21</xdr:row>
      <xdr:rowOff>138379</xdr:rowOff>
    </xdr:from>
    <xdr:to>
      <xdr:col>25</xdr:col>
      <xdr:colOff>253617</xdr:colOff>
      <xdr:row>47</xdr:row>
      <xdr:rowOff>193088</xdr:rowOff>
    </xdr:to>
    <mc:AlternateContent xmlns:mc="http://schemas.openxmlformats.org/markup-compatibility/2006" xmlns:a14="http://schemas.microsoft.com/office/drawing/2010/main">
      <mc:Choice Requires="a14">
        <xdr:graphicFrame macro="">
          <xdr:nvGraphicFramePr>
            <xdr:cNvPr id="11" name="Annual Maintenance (hours)">
              <a:extLst>
                <a:ext uri="{FF2B5EF4-FFF2-40B4-BE49-F238E27FC236}">
                  <a16:creationId xmlns:a16="http://schemas.microsoft.com/office/drawing/2014/main" id="{F0A76ECA-3DDF-9BD4-60A7-F6EF5992B26C}"/>
                </a:ext>
              </a:extLst>
            </xdr:cNvPr>
            <xdr:cNvGraphicFramePr/>
          </xdr:nvGraphicFramePr>
          <xdr:xfrm>
            <a:off x="0" y="0"/>
            <a:ext cx="0" cy="0"/>
          </xdr:xfrm>
          <a:graphic>
            <a:graphicData uri="http://schemas.microsoft.com/office/drawing/2010/slicer">
              <sle:slicer xmlns:sle="http://schemas.microsoft.com/office/drawing/2010/slicer" name="Annual Maintenance (hours)"/>
            </a:graphicData>
          </a:graphic>
        </xdr:graphicFrame>
      </mc:Choice>
      <mc:Fallback xmlns="">
        <xdr:sp macro="" textlink="">
          <xdr:nvSpPr>
            <xdr:cNvPr id="0" name=""/>
            <xdr:cNvSpPr>
              <a:spLocks noTextEdit="1"/>
            </xdr:cNvSpPr>
          </xdr:nvSpPr>
          <xdr:spPr>
            <a:xfrm>
              <a:off x="13592589" y="4075379"/>
              <a:ext cx="1803336" cy="259470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262221</xdr:colOff>
      <xdr:row>8</xdr:row>
      <xdr:rowOff>68384</xdr:rowOff>
    </xdr:from>
    <xdr:to>
      <xdr:col>24</xdr:col>
      <xdr:colOff>248481</xdr:colOff>
      <xdr:row>21</xdr:row>
      <xdr:rowOff>132635</xdr:rowOff>
    </xdr:to>
    <mc:AlternateContent xmlns:mc="http://schemas.openxmlformats.org/markup-compatibility/2006" xmlns:a14="http://schemas.microsoft.com/office/drawing/2010/main">
      <mc:Choice Requires="a14">
        <xdr:graphicFrame macro="">
          <xdr:nvGraphicFramePr>
            <xdr:cNvPr id="12" name="Total Maintenance Time (hours)">
              <a:extLst>
                <a:ext uri="{FF2B5EF4-FFF2-40B4-BE49-F238E27FC236}">
                  <a16:creationId xmlns:a16="http://schemas.microsoft.com/office/drawing/2014/main" id="{DF7A347D-B3CF-CCCC-D59C-5DE0AF8C4102}"/>
                </a:ext>
              </a:extLst>
            </xdr:cNvPr>
            <xdr:cNvGraphicFramePr/>
          </xdr:nvGraphicFramePr>
          <xdr:xfrm>
            <a:off x="0" y="0"/>
            <a:ext cx="0" cy="0"/>
          </xdr:xfrm>
          <a:graphic>
            <a:graphicData uri="http://schemas.microsoft.com/office/drawing/2010/slicer">
              <sle:slicer xmlns:sle="http://schemas.microsoft.com/office/drawing/2010/slicer" name="Total Maintenance Time (hours)"/>
            </a:graphicData>
          </a:graphic>
        </xdr:graphicFrame>
      </mc:Choice>
      <mc:Fallback xmlns="">
        <xdr:sp macro="" textlink="">
          <xdr:nvSpPr>
            <xdr:cNvPr id="0" name=""/>
            <xdr:cNvSpPr>
              <a:spLocks noTextEdit="1"/>
            </xdr:cNvSpPr>
          </xdr:nvSpPr>
          <xdr:spPr>
            <a:xfrm>
              <a:off x="12981759" y="1631461"/>
              <a:ext cx="1803337" cy="260425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8</xdr:col>
      <xdr:colOff>238125</xdr:colOff>
      <xdr:row>3</xdr:row>
      <xdr:rowOff>41275</xdr:rowOff>
    </xdr:from>
    <xdr:to>
      <xdr:col>15</xdr:col>
      <xdr:colOff>542925</xdr:colOff>
      <xdr:row>18</xdr:row>
      <xdr:rowOff>22225</xdr:rowOff>
    </xdr:to>
    <xdr:graphicFrame macro="">
      <xdr:nvGraphicFramePr>
        <xdr:cNvPr id="2" name="Chart 1">
          <a:extLst>
            <a:ext uri="{FF2B5EF4-FFF2-40B4-BE49-F238E27FC236}">
              <a16:creationId xmlns:a16="http://schemas.microsoft.com/office/drawing/2014/main" id="{3C410F5E-17AE-8A73-D5F0-B0486A5677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327024</xdr:colOff>
      <xdr:row>0</xdr:row>
      <xdr:rowOff>0</xdr:rowOff>
    </xdr:from>
    <xdr:to>
      <xdr:col>14</xdr:col>
      <xdr:colOff>539750</xdr:colOff>
      <xdr:row>20</xdr:row>
      <xdr:rowOff>184149</xdr:rowOff>
    </xdr:to>
    <xdr:graphicFrame macro="">
      <xdr:nvGraphicFramePr>
        <xdr:cNvPr id="2" name="Chart 1">
          <a:extLst>
            <a:ext uri="{FF2B5EF4-FFF2-40B4-BE49-F238E27FC236}">
              <a16:creationId xmlns:a16="http://schemas.microsoft.com/office/drawing/2014/main" id="{7307B2AC-B126-9BCD-B67E-863C93EAF2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dd House" refreshedDate="45975.551841203705" createdVersion="8" refreshedVersion="8" minRefreshableVersion="3" recordCount="250" xr:uid="{EF21068F-DD45-4E3F-AEE8-FE20E5ED89E7}">
  <cacheSource type="worksheet">
    <worksheetSource ref="A1:B251" sheet="Bike Stations"/>
  </cacheSource>
  <cacheFields count="2">
    <cacheField name="Station Name" numFmtId="0">
      <sharedItems count="248">
        <s v="Rosefield Intersection"/>
        <s v="Saughton Road North"/>
        <s v="Willaim Street-NW-SW"/>
        <s v="Rankin Road"/>
        <s v="Woodburn Street"/>
        <s v="Greenbank Row-Road"/>
        <s v="Tolbooth Wynd"/>
        <s v="Newmills Crescent"/>
        <s v="Chapelhill Road"/>
        <s v="Seafield Road"/>
        <s v="West Holmes Gardens"/>
        <s v="Dalhousie Avenue"/>
        <s v="Craigcrook Square"/>
        <s v="Liberton Place"/>
        <s v="Craiglockheart Road North"/>
        <s v="Willowbrae Avenue"/>
        <s v="Morningside Road"/>
        <s v="Hill Street"/>
        <s v="Whitehouse Road"/>
        <s v="Brunstane Road"/>
        <s v="St. John's Road"/>
        <s v="Lanark Road"/>
        <s v="Ferry Road"/>
        <s v="Pilton Avenue"/>
        <s v="Moredun Dykes Road"/>
        <s v="Craigleith Hill Avenue"/>
        <s v="Dovecot Crescent"/>
        <s v="Newbattle Abbey Crescent"/>
        <s v="Lauder Road"/>
        <s v="Easter Currie Place"/>
        <s v="Mountcastle Gardens"/>
        <s v="Buckstone Road"/>
        <s v="Saughtonhall Gardens"/>
        <s v="Priestfield Road-Prestonfield Avenue"/>
        <s v="Prospect Bank Road"/>
        <s v="Wester Hailes Road"/>
        <s v="Bangholm Loan"/>
        <s v="Southfield Gardens West"/>
        <s v="Burnbrae"/>
        <s v="The Loan"/>
        <s v="Milton Road East"/>
        <s v="Easter Road"/>
        <s v="Morningside Drive"/>
        <s v="Greenhill Gardens"/>
        <s v="Clermiston Drive"/>
        <s v="Burnbrae Road"/>
        <s v="South Gyle Road"/>
        <s v="Braid Road"/>
        <s v="West Pilton Drive"/>
        <s v="Clackmae Road"/>
        <s v="Ravelston House Road"/>
        <s v="Newcraighall Primary School"/>
        <s v="Mansfield Road"/>
        <s v="Research Avenue North"/>
        <s v="Seaview Terrace"/>
        <s v="Chalmers Crescent"/>
        <s v="Craiglockhart Primary School"/>
        <s v="Traquair Park West"/>
        <s v="Braid Tennis Club"/>
        <s v="Braehead Drive"/>
        <s v="Corbiehill Avenue"/>
        <s v="Sighthill Shopping Centre"/>
        <s v="Lasswade Road"/>
        <s v="Craiglockhart Park"/>
        <s v="Newhaven Road"/>
        <s v="Crescent House"/>
        <s v="Fillyside Avenue"/>
        <s v="Holyrood Road"/>
        <s v="Moston Terrace"/>
        <s v="Cairntows Park"/>
        <s v="Orchard Brae Gardens"/>
        <s v="Treverlen Park"/>
        <s v="Queensferry Road"/>
        <s v="Morningside Park"/>
        <s v="Ormidale Terrace"/>
        <s v="Spylaw Bank Road"/>
        <s v="Craigmillar Park Bowling Club"/>
        <s v="Ryehill Terrace"/>
        <s v="Seafield Recreation Ground"/>
        <s v="Gorgie Road"/>
        <s v="HMP Edinburgh"/>
        <s v="Edinburgh Academy"/>
        <s v="Drum Brae South"/>
        <s v="Edinburgh College - Milton Road"/>
        <s v="Burdiehouse Road"/>
        <s v="Woodlands School"/>
        <s v="Dean Tennis &amp; Squash Club"/>
        <s v="Old Craighall Road Park"/>
        <s v="Dryden Terrace"/>
        <s v="Balgreen Park"/>
        <s v="Coltin Mains Drive"/>
        <s v="Albert Terrace"/>
        <s v="Grassmarket"/>
        <s v="Marionville Crescent"/>
        <s v="South Morningside Primary School"/>
        <s v="Edmonstone Road"/>
        <s v="Robert Burns Drive"/>
        <s v="Crewe Road South"/>
        <s v="Maybury Medical Practice"/>
        <s v="Darroch Annex"/>
        <s v="Old Kirk Road"/>
        <s v="Juniper Green Tennis Club"/>
        <s v="Ravenswood Avenue"/>
        <s v="Gracemount Primary School"/>
        <s v="Milton Gardens North"/>
        <s v="Broomhall Gardens"/>
        <s v="Kilgraston Road"/>
        <s v="Dudley Bowling Club"/>
        <s v="Winton Loan"/>
        <s v="Castlegreen Care Home"/>
        <s v="Drumbrae Leisure Centre"/>
        <s v="Criaglockhart Telephone Exchange"/>
        <s v="Dalkieth High School"/>
        <s v="Prestonfield Avenue"/>
        <s v="Springwell Medical Centre"/>
        <s v="Braid Hills Approach"/>
        <s v="Colinton Bowling Club"/>
        <s v="Mountcastle Drive North"/>
        <s v="Bonnyrigg Distributor"/>
        <s v="Lockharton Gardens"/>
        <s v="Granton Road"/>
        <s v="Buckstone Crescent"/>
        <s v="Millerhill Carbon Tower"/>
        <s v="Hardengreen Business Park"/>
        <s v="Portobello High Street"/>
        <s v="Shandon Road"/>
        <s v="Bilston Primary School"/>
        <s v="Ulster Grove"/>
        <s v="Craighleith Primary"/>
        <s v="Brunswick Place"/>
        <s v="West Coates"/>
        <s v="London Road"/>
        <s v="Crewe Medical Centre"/>
        <s v="Millhill"/>
        <s v="Gamekeeper's Road"/>
        <s v="Kingsknowe Park"/>
        <s v="Liberton Brae"/>
        <s v="Relugas Road"/>
        <s v="Broomhouse Road"/>
        <s v="Inch Nursery"/>
        <s v="Lothian Road"/>
        <s v="Ferry Road 2"/>
        <s v="Craigentinny Bowling Club"/>
        <s v="Whitehall Farm Road"/>
        <s v="Hope Terrace"/>
        <s v="Newmills Road"/>
        <s v="Station Road"/>
        <s v="Gilberstoun"/>
        <s v="Salamander Street"/>
        <s v="Leith Walk North"/>
        <s v="Dudingston Park South"/>
        <s v="Fox Spring Crescent"/>
        <s v="Abercorn Park"/>
        <s v="Portobello Road"/>
        <s v="Groathill Road North"/>
        <s v="St. John's Road 2"/>
        <s v="Malleny Millgate"/>
        <s v="Boswall Parkway"/>
        <s v="Powerleague Seaside Pitches"/>
        <s v="Minto Street"/>
        <s v="Calder Gardens"/>
        <s v="Gogarbank"/>
        <s v="Canal View Primary School"/>
        <s v="Warriston Playing Fields"/>
        <s v="Clermiston Road"/>
        <s v="Midfield House"/>
        <s v="Greenbank Gardens"/>
        <s v="Cammo Mews"/>
        <s v="Cowden Crescent"/>
        <s v="Meadows West"/>
        <s v="Balgreen Road"/>
        <s v="Merchiston Avenue"/>
        <s v="Davidsons Mains Medical Centre"/>
        <s v="Columba Road"/>
        <s v="Bonnington Road"/>
        <s v="Nile Grove"/>
        <s v="Grange Road"/>
        <s v="Royal Victoria Hospital"/>
        <s v="Saughton Park Gardens"/>
        <s v="Edinburgh Royal Infirmary"/>
        <s v="Stockbridge"/>
        <s v="Coillesdene Avenue"/>
        <s v="Learmonth Terrace"/>
        <s v="Pentland Road"/>
        <s v="Napier Road"/>
        <s v="Craiglockhart Road"/>
        <s v="Queen's Gardens"/>
        <s v="Lennox Road"/>
        <s v="Carnbee Park"/>
        <s v="Welfare Park"/>
        <s v="Drylaw Post Office"/>
        <s v="University of Edinburgh Easter Bush"/>
        <s v="Greenbank Drive"/>
        <s v="Joppa"/>
        <s v="Dalkieth Road"/>
        <s v="East Trinity Road"/>
        <s v="St. Margaret's Park"/>
        <s v="Fraser Avenue"/>
        <s v="Currie Primary School"/>
        <s v="Burnshot Flyover"/>
        <s v="Ladysmith Road"/>
        <s v="Gyle Square"/>
        <s v="Constitution Street"/>
        <s v="Newbattle Community Campus"/>
        <s v="Holyrood High School"/>
        <s v="Melville Dykes Road"/>
        <s v="Broughton High School"/>
        <s v="Orchard Road"/>
        <s v="St. Mary's Music School"/>
        <s v="Craigmillar Shopping Centre"/>
        <s v="Ferryfield"/>
        <s v="Carrick Knowe Gardens"/>
        <s v="Hermitage Gardens"/>
        <s v="St. Albans Road"/>
        <s v="Inverleith Row"/>
        <s v="Murrayfield Gardens"/>
        <s v="West Fairbrae Crescent"/>
        <s v="Urban Union Main Park"/>
        <s v="Belmont Drive"/>
        <s v="Currievale Park"/>
        <s v="Bruntsfield Place"/>
        <s v="Campbell Road"/>
        <s v="Mortonhall Park Drive"/>
        <s v="Oxgangs Terrace"/>
        <s v="Glimerton Dykes Road"/>
        <s v="Grange Loan"/>
        <s v="Dalymple"/>
        <s v="North Junction Street"/>
        <s v="Colinton Road"/>
        <s v="King's Gate"/>
        <s v="Woodburn Drive"/>
        <s v="Duart Crescent"/>
        <s v="The Squircle"/>
        <s v="Moat Drive"/>
        <s v="West Crosscauseway"/>
        <s v="Broughton Street"/>
        <s v="Liberton Road"/>
        <s v="Northumberland Street"/>
        <s v="Drum Brae Drive"/>
        <s v="Newcraighall Road"/>
        <s v="Pentland Primary School"/>
        <s v="Gilmerton Road"/>
        <s v="Magdalene Avenue"/>
        <s v="Mayfield Terrace"/>
        <s v="Pilrig Street"/>
        <s v="Hillview Crescent"/>
        <s v="Southview Road East"/>
        <s v="Caiystane Crescent"/>
      </sharedItems>
    </cacheField>
    <cacheField name="# Bikes" numFmtId="0">
      <sharedItems containsSemiMixedTypes="0" containsString="0" containsNumber="1" containsInteger="1" minValue="1" maxValue="50" count="50">
        <n v="1"/>
        <n v="6"/>
        <n v="18"/>
        <n v="16"/>
        <n v="4"/>
        <n v="3"/>
        <n v="8"/>
        <n v="9"/>
        <n v="7"/>
        <n v="14"/>
        <n v="13"/>
        <n v="2"/>
        <n v="12"/>
        <n v="11"/>
        <n v="10"/>
        <n v="20"/>
        <n v="19"/>
        <n v="17"/>
        <n v="28"/>
        <n v="32"/>
        <n v="30"/>
        <n v="41"/>
        <n v="48"/>
        <n v="46"/>
        <n v="43"/>
        <n v="31"/>
        <n v="24"/>
        <n v="42"/>
        <n v="23"/>
        <n v="34"/>
        <n v="37"/>
        <n v="40"/>
        <n v="49"/>
        <n v="45"/>
        <n v="27"/>
        <n v="21"/>
        <n v="35"/>
        <n v="22"/>
        <n v="44"/>
        <n v="36"/>
        <n v="5"/>
        <n v="47"/>
        <n v="33"/>
        <n v="38"/>
        <n v="50"/>
        <n v="26"/>
        <n v="15"/>
        <n v="39"/>
        <n v="25"/>
        <n v="29"/>
      </sharedItems>
    </cacheField>
  </cacheFields>
  <extLst>
    <ext xmlns:x14="http://schemas.microsoft.com/office/spreadsheetml/2009/9/main" uri="{725AE2AE-9491-48be-B2B4-4EB974FC3084}">
      <x14:pivotCacheDefinition pivotCacheId="24034559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dd House" refreshedDate="45978.690230092594" createdVersion="8" refreshedVersion="8" minRefreshableVersion="3" recordCount="250" xr:uid="{2E729F0E-2674-4388-BFE5-7615091FAA39}">
  <cacheSource type="worksheet">
    <worksheetSource ref="A1:F251" sheet="Maintenance Calculations"/>
  </cacheSource>
  <cacheFields count="6">
    <cacheField name="Station Name" numFmtId="0">
      <sharedItems count="248">
        <s v="Rosefield Intersection"/>
        <s v="Saughton Road North"/>
        <s v="Willaim Street-NW-SW"/>
        <s v="Rankin Road"/>
        <s v="Woodburn Street"/>
        <s v="Greenbank Row-Road"/>
        <s v="Tolbooth Wynd"/>
        <s v="Newmills Crescent"/>
        <s v="Chapelhill Road"/>
        <s v="Seafield Road"/>
        <s v="West Holmes Gardens"/>
        <s v="Dalhousie Avenue"/>
        <s v="Craigcrook Square"/>
        <s v="Liberton Place"/>
        <s v="Craiglockheart Road North"/>
        <s v="Willowbrae Avenue"/>
        <s v="Morningside Road"/>
        <s v="Hill Street"/>
        <s v="Whitehouse Road"/>
        <s v="Brunstane Road"/>
        <s v="St. John's Road"/>
        <s v="Lanark Road"/>
        <s v="Ferry Road"/>
        <s v="Pilton Avenue"/>
        <s v="Moredun Dykes Road"/>
        <s v="Craigleith Hill Avenue"/>
        <s v="Dovecot Crescent"/>
        <s v="Newbattle Abbey Crescent"/>
        <s v="Lauder Road"/>
        <s v="Easter Currie Place"/>
        <s v="Mountcastle Gardens"/>
        <s v="Buckstone Road"/>
        <s v="Saughtonhall Gardens"/>
        <s v="Priestfield Road-Prestonfield Avenue"/>
        <s v="Prospect Bank Road"/>
        <s v="Wester Hailes Road"/>
        <s v="Bangholm Loan"/>
        <s v="Southfield Gardens West"/>
        <s v="Burnbrae"/>
        <s v="The Loan"/>
        <s v="Milton Road East"/>
        <s v="Easter Road"/>
        <s v="Morningside Drive"/>
        <s v="Greenhill Gardens"/>
        <s v="Clermiston Drive"/>
        <s v="Burnbrae Road"/>
        <s v="South Gyle Road"/>
        <s v="Braid Road"/>
        <s v="West Pilton Drive"/>
        <s v="Clackmae Road"/>
        <s v="Ravelston House Road"/>
        <s v="Newcraighall Primary School"/>
        <s v="Mansfield Road"/>
        <s v="Research Avenue North"/>
        <s v="Seaview Terrace"/>
        <s v="Chalmers Crescent"/>
        <s v="Craiglockhart Primary School"/>
        <s v="Traquair Park West"/>
        <s v="Braid Tennis Club"/>
        <s v="Braehead Drive"/>
        <s v="Corbiehill Avenue"/>
        <s v="Sighthill Shopping Centre"/>
        <s v="Lasswade Road"/>
        <s v="Craiglockhart Park"/>
        <s v="Newhaven Road"/>
        <s v="Crescent House"/>
        <s v="Fillyside Avenue"/>
        <s v="Holyrood Road"/>
        <s v="Moston Terrace"/>
        <s v="Cairntows Park"/>
        <s v="Orchard Brae Gardens"/>
        <s v="Treverlen Park"/>
        <s v="Queensferry Road"/>
        <s v="Morningside Park"/>
        <s v="Ormidale Terrace"/>
        <s v="Spylaw Bank Road"/>
        <s v="Craigmillar Park Bowling Club"/>
        <s v="Ryehill Terrace"/>
        <s v="Seafield Recreation Ground"/>
        <s v="Gorgie Road"/>
        <s v="HMP Edinburgh"/>
        <s v="Edinburgh Academy"/>
        <s v="Drum Brae South"/>
        <s v="Edinburgh College - Milton Road"/>
        <s v="Burdiehouse Road"/>
        <s v="Woodlands School"/>
        <s v="Dean Tennis &amp; Squash Club"/>
        <s v="Old Craighall Road Park"/>
        <s v="Dryden Terrace"/>
        <s v="Balgreen Park"/>
        <s v="Coltin Mains Drive"/>
        <s v="Albert Terrace"/>
        <s v="Grassmarket"/>
        <s v="Marionville Crescent"/>
        <s v="South Morningside Primary School"/>
        <s v="Edmonstone Road"/>
        <s v="Robert Burns Drive"/>
        <s v="Crewe Road South"/>
        <s v="Maybury Medical Practice"/>
        <s v="Darroch Annex"/>
        <s v="Old Kirk Road"/>
        <s v="Juniper Green Tennis Club"/>
        <s v="Ravenswood Avenue"/>
        <s v="Gracemount Primary School"/>
        <s v="Milton Gardens North"/>
        <s v="Broomhall Gardens"/>
        <s v="Kilgraston Road"/>
        <s v="Dudley Bowling Club"/>
        <s v="Winton Loan"/>
        <s v="Castlegreen Care Home"/>
        <s v="Drumbrae Leisure Centre"/>
        <s v="Criaglockhart Telephone Exchange"/>
        <s v="Dalkieth High School"/>
        <s v="Prestonfield Avenue"/>
        <s v="Springwell Medical Centre"/>
        <s v="Braid Hills Approach"/>
        <s v="Colinton Bowling Club"/>
        <s v="Mountcastle Drive North"/>
        <s v="Bonnyrigg Distributor"/>
        <s v="Lockharton Gardens"/>
        <s v="Granton Road"/>
        <s v="Buckstone Crescent"/>
        <s v="Millerhill Carbon Tower"/>
        <s v="Hardengreen Business Park"/>
        <s v="Portobello High Street"/>
        <s v="Shandon Road"/>
        <s v="Bilston Primary School"/>
        <s v="Ulster Grove"/>
        <s v="Craighleith Primary"/>
        <s v="Brunswick Place"/>
        <s v="West Coates"/>
        <s v="London Road"/>
        <s v="Crewe Medical Centre"/>
        <s v="Millhill"/>
        <s v="Gamekeeper's Road"/>
        <s v="Kingsknowe Park"/>
        <s v="Liberton Brae"/>
        <s v="Relugas Road"/>
        <s v="Broomhouse Road"/>
        <s v="Inch Nursery"/>
        <s v="Lothian Road"/>
        <s v="Ferry Road 2"/>
        <s v="Craigentinny Bowling Club"/>
        <s v="Whitehall Farm Road"/>
        <s v="Hope Terrace"/>
        <s v="Newmills Road"/>
        <s v="Station Road"/>
        <s v="Gilberstoun"/>
        <s v="Salamander Street"/>
        <s v="Leith Walk North"/>
        <s v="Dudingston Park South"/>
        <s v="Fox Spring Crescent"/>
        <s v="Abercorn Park"/>
        <s v="Portobello Road"/>
        <s v="Groathill Road North"/>
        <s v="St. John's Road 2"/>
        <s v="Malleny Millgate"/>
        <s v="Boswall Parkway"/>
        <s v="Powerleague Seaside Pitches"/>
        <s v="Minto Street"/>
        <s v="Calder Gardens"/>
        <s v="Gogarbank"/>
        <s v="Canal View Primary School"/>
        <s v="Warriston Playing Fields"/>
        <s v="Clermiston Road"/>
        <s v="Midfield House"/>
        <s v="Greenbank Gardens"/>
        <s v="Cammo Mews"/>
        <s v="Cowden Crescent"/>
        <s v="Meadows West"/>
        <s v="Balgreen Road"/>
        <s v="Merchiston Avenue"/>
        <s v="Davidsons Mains Medical Centre"/>
        <s v="Columba Road"/>
        <s v="Bonnington Road"/>
        <s v="Nile Grove"/>
        <s v="Grange Road"/>
        <s v="Royal Victoria Hospital"/>
        <s v="Saughton Park Gardens"/>
        <s v="Edinburgh Royal Infirmary"/>
        <s v="Stockbridge"/>
        <s v="Coillesdene Avenue"/>
        <s v="Learmonth Terrace"/>
        <s v="Pentland Road"/>
        <s v="Napier Road"/>
        <s v="Craiglockhart Road"/>
        <s v="Queen's Gardens"/>
        <s v="Lennox Road"/>
        <s v="Carnbee Park"/>
        <s v="Welfare Park"/>
        <s v="Drylaw Post Office"/>
        <s v="University of Edinburgh Easter Bush"/>
        <s v="Greenbank Drive"/>
        <s v="Joppa"/>
        <s v="Dalkieth Road"/>
        <s v="East Trinity Road"/>
        <s v="St. Margaret's Park"/>
        <s v="Fraser Avenue"/>
        <s v="Currie Primary School"/>
        <s v="Burnshot Flyover"/>
        <s v="Ladysmith Road"/>
        <s v="Gyle Square"/>
        <s v="Constitution Street"/>
        <s v="Newbattle Community Campus"/>
        <s v="Holyrood High School"/>
        <s v="Melville Dykes Road"/>
        <s v="Broughton High School"/>
        <s v="Orchard Road"/>
        <s v="St. Mary's Music School"/>
        <s v="Craigmillar Shopping Centre"/>
        <s v="Ferryfield"/>
        <s v="Carrick Knowe Gardens"/>
        <s v="Hermitage Gardens"/>
        <s v="St. Albans Road"/>
        <s v="Inverleith Row"/>
        <s v="Murrayfield Gardens"/>
        <s v="West Fairbrae Crescent"/>
        <s v="Urban Union Main Park"/>
        <s v="Belmont Drive"/>
        <s v="Currievale Park"/>
        <s v="Bruntsfield Place"/>
        <s v="Campbell Road"/>
        <s v="Mortonhall Park Drive"/>
        <s v="Oxgangs Terrace"/>
        <s v="Glimerton Dykes Road"/>
        <s v="Grange Loan"/>
        <s v="Dalymple"/>
        <s v="North Junction Street"/>
        <s v="Colinton Road"/>
        <s v="King's Gate"/>
        <s v="Woodburn Drive"/>
        <s v="Duart Crescent"/>
        <s v="The Squircle"/>
        <s v="Moat Drive"/>
        <s v="West Crosscauseway"/>
        <s v="Broughton Street"/>
        <s v="Liberton Road"/>
        <s v="Northumberland Street"/>
        <s v="Drum Brae Drive"/>
        <s v="Newcraighall Road"/>
        <s v="Pentland Primary School"/>
        <s v="Gilmerton Road"/>
        <s v="Magdalene Avenue"/>
        <s v="Mayfield Terrace"/>
        <s v="Pilrig Street"/>
        <s v="Hillview Crescent"/>
        <s v="Southview Road East"/>
        <s v="Caiystane Crescent"/>
      </sharedItems>
    </cacheField>
    <cacheField name="Weekly Maintenance (hours)" numFmtId="0">
      <sharedItems containsSemiMixedTypes="0" containsString="0" containsNumber="1" minValue="0" maxValue="9.1666666666666661" count="56">
        <n v="0.83333333333333337"/>
        <n v="9.1666666666666661"/>
        <n v="0"/>
        <n v="3.3333333333333335"/>
        <n v="1"/>
        <n v="4.166666666666667"/>
        <n v="9.1666666666666181"/>
        <n v="5"/>
        <n v="1.6666666666667613"/>
        <n v="3.3333333333333242"/>
        <n v="9.1666666666664334"/>
        <n v="0.16666666666666666" u="1"/>
        <n v="3" u="1"/>
        <n v="2.6666666666666665" u="1"/>
        <n v="0.66666666666666663" u="1"/>
        <n v="0.5" u="1"/>
        <n v="1.3333333333333333" u="1"/>
        <n v="1.5" u="1"/>
        <n v="1.1666666666666667" u="1"/>
        <n v="2.3333333333333335" u="1"/>
        <n v="2.1666666666666665" u="1"/>
        <n v="0.33333333333333331" u="1"/>
        <n v="2" u="1"/>
        <n v="1.8333333333333333" u="1"/>
        <n v="1.6666666666666667" u="1"/>
        <n v="3.1666666666666665" u="1"/>
        <n v="2.8333333333333335" u="1"/>
        <n v="4.666666666666667" u="1"/>
        <n v="5.333333333333333" u="1"/>
        <n v="6.833333333333333" u="1"/>
        <n v="8" u="1"/>
        <n v="7.666666666666667" u="1"/>
        <n v="7.166666666666667" u="1"/>
        <n v="5.166666666666667" u="1"/>
        <n v="4" u="1"/>
        <n v="7" u="1"/>
        <n v="3.8333333333333335" u="1"/>
        <n v="5.666666666666667" u="1"/>
        <n v="6.166666666666667" u="1"/>
        <n v="6.666666666666667" u="1"/>
        <n v="8.1666666666666661" u="1"/>
        <n v="7.5" u="1"/>
        <n v="4.5" u="1"/>
        <n v="3.5" u="1"/>
        <n v="5.833333333333333" u="1"/>
        <n v="3.6666666666666665" u="1"/>
        <n v="7.333333333333333" u="1"/>
        <n v="6" u="1"/>
        <n v="7.833333333333333" u="1"/>
        <n v="5.5" u="1"/>
        <n v="6.333333333333333" u="1"/>
        <n v="8.3333333333333339" u="1"/>
        <n v="4.333333333333333" u="1"/>
        <n v="2.5" u="1"/>
        <n v="6.5" u="1"/>
        <n v="4.833333333333333" u="1"/>
      </sharedItems>
    </cacheField>
    <cacheField name="Monthly Maintenance (hours)" numFmtId="0">
      <sharedItems containsSemiMixedTypes="0" containsString="0" containsNumber="1" minValue="0" maxValue="27.5" count="56">
        <n v="2.5"/>
        <n v="27.5"/>
        <n v="0"/>
        <n v="10"/>
        <n v="3"/>
        <n v="12.5"/>
        <n v="27.499999999999851"/>
        <n v="15"/>
        <n v="5.0000000000002842"/>
        <n v="9.9999999999999734"/>
        <n v="27.4999999999993"/>
        <n v="0.5" u="1"/>
        <n v="9" u="1"/>
        <n v="8" u="1"/>
        <n v="2" u="1"/>
        <n v="1.5" u="1"/>
        <n v="4" u="1"/>
        <n v="4.5" u="1"/>
        <n v="3.5" u="1"/>
        <n v="7" u="1"/>
        <n v="6.5" u="1"/>
        <n v="1" u="1"/>
        <n v="6" u="1"/>
        <n v="5.5" u="1"/>
        <n v="5" u="1"/>
        <n v="9.5" u="1"/>
        <n v="8.5" u="1"/>
        <n v="14" u="1"/>
        <n v="16" u="1"/>
        <n v="20.5" u="1"/>
        <n v="24" u="1"/>
        <n v="23" u="1"/>
        <n v="21.5" u="1"/>
        <n v="15.5" u="1"/>
        <n v="12" u="1"/>
        <n v="21" u="1"/>
        <n v="11.5" u="1"/>
        <n v="17" u="1"/>
        <n v="18.5" u="1"/>
        <n v="20" u="1"/>
        <n v="24.5" u="1"/>
        <n v="22.5" u="1"/>
        <n v="13.5" u="1"/>
        <n v="10.5" u="1"/>
        <n v="17.5" u="1"/>
        <n v="11" u="1"/>
        <n v="22" u="1"/>
        <n v="18" u="1"/>
        <n v="23.5" u="1"/>
        <n v="16.5" u="1"/>
        <n v="19" u="1"/>
        <n v="25" u="1"/>
        <n v="13" u="1"/>
        <n v="7.5" u="1"/>
        <n v="19.5" u="1"/>
        <n v="14.5" u="1"/>
      </sharedItems>
    </cacheField>
    <cacheField name="Biannual Maintenance (hours)" numFmtId="0">
      <sharedItems containsSemiMixedTypes="0" containsString="0" containsNumber="1" minValue="0" maxValue="55" count="56">
        <n v="5"/>
        <n v="55"/>
        <n v="0"/>
        <n v="20"/>
        <n v="6"/>
        <n v="25"/>
        <n v="54.999999999999702"/>
        <n v="30"/>
        <n v="10.000000000000568"/>
        <n v="19.999999999999947"/>
        <n v="54.9999999999986"/>
        <n v="1" u="1"/>
        <n v="18" u="1"/>
        <n v="16" u="1"/>
        <n v="4" u="1"/>
        <n v="3" u="1"/>
        <n v="8" u="1"/>
        <n v="9" u="1"/>
        <n v="7" u="1"/>
        <n v="14" u="1"/>
        <n v="13" u="1"/>
        <n v="2" u="1"/>
        <n v="12" u="1"/>
        <n v="11" u="1"/>
        <n v="10" u="1"/>
        <n v="19" u="1"/>
        <n v="17" u="1"/>
        <n v="28" u="1"/>
        <n v="32" u="1"/>
        <n v="41" u="1"/>
        <n v="48" u="1"/>
        <n v="46" u="1"/>
        <n v="43" u="1"/>
        <n v="31" u="1"/>
        <n v="24" u="1"/>
        <n v="42" u="1"/>
        <n v="23" u="1"/>
        <n v="34" u="1"/>
        <n v="37" u="1"/>
        <n v="40" u="1"/>
        <n v="49" u="1"/>
        <n v="45" u="1"/>
        <n v="27" u="1"/>
        <n v="21" u="1"/>
        <n v="35" u="1"/>
        <n v="22" u="1"/>
        <n v="44" u="1"/>
        <n v="36" u="1"/>
        <n v="47" u="1"/>
        <n v="33" u="1"/>
        <n v="38" u="1"/>
        <n v="50" u="1"/>
        <n v="26" u="1"/>
        <n v="15" u="1"/>
        <n v="39" u="1"/>
        <n v="29" u="1"/>
      </sharedItems>
    </cacheField>
    <cacheField name="Annual Maintenance (hours)" numFmtId="0">
      <sharedItems containsSemiMixedTypes="0" containsString="0" containsNumber="1" minValue="0" maxValue="110" count="56">
        <n v="10"/>
        <n v="110"/>
        <n v="0"/>
        <n v="40"/>
        <n v="12"/>
        <n v="50"/>
        <n v="109.9999999999994"/>
        <n v="60"/>
        <n v="20.000000000001137"/>
        <n v="39.999999999999893"/>
        <n v="109.9999999999972"/>
        <n v="2" u="1"/>
        <n v="36" u="1"/>
        <n v="32" u="1"/>
        <n v="8" u="1"/>
        <n v="6" u="1"/>
        <n v="16" u="1"/>
        <n v="18" u="1"/>
        <n v="14" u="1"/>
        <n v="28" u="1"/>
        <n v="26" u="1"/>
        <n v="4" u="1"/>
        <n v="24" u="1"/>
        <n v="22" u="1"/>
        <n v="20" u="1"/>
        <n v="38" u="1"/>
        <n v="34" u="1"/>
        <n v="56" u="1"/>
        <n v="64" u="1"/>
        <n v="82" u="1"/>
        <n v="96" u="1"/>
        <n v="92" u="1"/>
        <n v="86" u="1"/>
        <n v="62" u="1"/>
        <n v="48" u="1"/>
        <n v="84" u="1"/>
        <n v="46" u="1"/>
        <n v="68" u="1"/>
        <n v="74" u="1"/>
        <n v="80" u="1"/>
        <n v="98" u="1"/>
        <n v="90" u="1"/>
        <n v="54" u="1"/>
        <n v="42" u="1"/>
        <n v="70" u="1"/>
        <n v="44" u="1"/>
        <n v="88" u="1"/>
        <n v="72" u="1"/>
        <n v="94" u="1"/>
        <n v="66" u="1"/>
        <n v="76" u="1"/>
        <n v="100" u="1"/>
        <n v="52" u="1"/>
        <n v="30" u="1"/>
        <n v="78" u="1"/>
        <n v="58" u="1"/>
      </sharedItems>
    </cacheField>
    <cacheField name="Total Maintenance Time (hours)" numFmtId="2">
      <sharedItems containsSemiMixedTypes="0" containsString="0" containsNumber="1" minValue="0" maxValue="201.66666666666666" count="56">
        <n v="18.333333333333336"/>
        <n v="201.66666666666666"/>
        <n v="0"/>
        <n v="73.333333333333343"/>
        <n v="22"/>
        <n v="91.666666666666671"/>
        <n v="201.66666666666558"/>
        <n v="110"/>
        <n v="36.666666666668746"/>
        <n v="73.333333333333144"/>
        <n v="201.66666666666151"/>
        <n v="3.6666666666666665" u="1"/>
        <n v="66" u="1"/>
        <n v="58.666666666666664" u="1"/>
        <n v="14.666666666666666" u="1"/>
        <n v="11" u="1"/>
        <n v="29.333333333333332" u="1"/>
        <n v="33" u="1"/>
        <n v="25.666666666666668" u="1"/>
        <n v="51.333333333333336" u="1"/>
        <n v="47.666666666666664" u="1"/>
        <n v="7.333333333333333" u="1"/>
        <n v="44" u="1"/>
        <n v="40.333333333333329" u="1"/>
        <n v="36.666666666666671" u="1"/>
        <n v="69.666666666666657" u="1"/>
        <n v="62.333333333333336" u="1"/>
        <n v="102.66666666666667" u="1"/>
        <n v="117.33333333333333" u="1"/>
        <n v="150.33333333333331" u="1"/>
        <n v="176" u="1"/>
        <n v="168.66666666666669" u="1"/>
        <n v="157.66666666666669" u="1"/>
        <n v="113.66666666666667" u="1"/>
        <n v="88" u="1"/>
        <n v="154" u="1"/>
        <n v="84.333333333333343" u="1"/>
        <n v="124.66666666666667" u="1"/>
        <n v="135.66666666666669" u="1"/>
        <n v="146.66666666666669" u="1"/>
        <n v="179.66666666666666" u="1"/>
        <n v="165" u="1"/>
        <n v="99" u="1"/>
        <n v="77" u="1"/>
        <n v="128.33333333333331" u="1"/>
        <n v="80.666666666666657" u="1"/>
        <n v="161.33333333333331" u="1"/>
        <n v="132" u="1"/>
        <n v="172.33333333333331" u="1"/>
        <n v="121" u="1"/>
        <n v="139.33333333333331" u="1"/>
        <n v="183.33333333333334" u="1"/>
        <n v="95.333333333333329" u="1"/>
        <n v="55" u="1"/>
        <n v="143" u="1"/>
        <n v="106.33333333333333" u="1"/>
      </sharedItems>
    </cacheField>
  </cacheFields>
  <extLst>
    <ext xmlns:x14="http://schemas.microsoft.com/office/spreadsheetml/2009/9/main" uri="{725AE2AE-9491-48be-B2B4-4EB974FC3084}">
      <x14:pivotCacheDefinition pivotCacheId="8306145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0">
  <r>
    <x v="0"/>
    <x v="0"/>
  </r>
  <r>
    <x v="1"/>
    <x v="1"/>
  </r>
  <r>
    <x v="2"/>
    <x v="2"/>
  </r>
  <r>
    <x v="3"/>
    <x v="2"/>
  </r>
  <r>
    <x v="4"/>
    <x v="1"/>
  </r>
  <r>
    <x v="5"/>
    <x v="3"/>
  </r>
  <r>
    <x v="6"/>
    <x v="4"/>
  </r>
  <r>
    <x v="7"/>
    <x v="5"/>
  </r>
  <r>
    <x v="8"/>
    <x v="6"/>
  </r>
  <r>
    <x v="9"/>
    <x v="7"/>
  </r>
  <r>
    <x v="10"/>
    <x v="4"/>
  </r>
  <r>
    <x v="11"/>
    <x v="0"/>
  </r>
  <r>
    <x v="12"/>
    <x v="1"/>
  </r>
  <r>
    <x v="13"/>
    <x v="8"/>
  </r>
  <r>
    <x v="14"/>
    <x v="9"/>
  </r>
  <r>
    <x v="15"/>
    <x v="10"/>
  </r>
  <r>
    <x v="16"/>
    <x v="11"/>
  </r>
  <r>
    <x v="17"/>
    <x v="3"/>
  </r>
  <r>
    <x v="18"/>
    <x v="12"/>
  </r>
  <r>
    <x v="19"/>
    <x v="7"/>
  </r>
  <r>
    <x v="20"/>
    <x v="13"/>
  </r>
  <r>
    <x v="21"/>
    <x v="12"/>
  </r>
  <r>
    <x v="22"/>
    <x v="6"/>
  </r>
  <r>
    <x v="23"/>
    <x v="13"/>
  </r>
  <r>
    <x v="24"/>
    <x v="1"/>
  </r>
  <r>
    <x v="25"/>
    <x v="14"/>
  </r>
  <r>
    <x v="26"/>
    <x v="7"/>
  </r>
  <r>
    <x v="27"/>
    <x v="8"/>
  </r>
  <r>
    <x v="28"/>
    <x v="15"/>
  </r>
  <r>
    <x v="29"/>
    <x v="8"/>
  </r>
  <r>
    <x v="30"/>
    <x v="9"/>
  </r>
  <r>
    <x v="31"/>
    <x v="15"/>
  </r>
  <r>
    <x v="32"/>
    <x v="16"/>
  </r>
  <r>
    <x v="33"/>
    <x v="15"/>
  </r>
  <r>
    <x v="34"/>
    <x v="4"/>
  </r>
  <r>
    <x v="35"/>
    <x v="3"/>
  </r>
  <r>
    <x v="36"/>
    <x v="7"/>
  </r>
  <r>
    <x v="37"/>
    <x v="3"/>
  </r>
  <r>
    <x v="38"/>
    <x v="17"/>
  </r>
  <r>
    <x v="39"/>
    <x v="7"/>
  </r>
  <r>
    <x v="40"/>
    <x v="18"/>
  </r>
  <r>
    <x v="41"/>
    <x v="19"/>
  </r>
  <r>
    <x v="42"/>
    <x v="20"/>
  </r>
  <r>
    <x v="43"/>
    <x v="9"/>
  </r>
  <r>
    <x v="44"/>
    <x v="9"/>
  </r>
  <r>
    <x v="45"/>
    <x v="21"/>
  </r>
  <r>
    <x v="46"/>
    <x v="14"/>
  </r>
  <r>
    <x v="47"/>
    <x v="22"/>
  </r>
  <r>
    <x v="48"/>
    <x v="8"/>
  </r>
  <r>
    <x v="49"/>
    <x v="23"/>
  </r>
  <r>
    <x v="50"/>
    <x v="9"/>
  </r>
  <r>
    <x v="51"/>
    <x v="24"/>
  </r>
  <r>
    <x v="52"/>
    <x v="25"/>
  </r>
  <r>
    <x v="53"/>
    <x v="16"/>
  </r>
  <r>
    <x v="54"/>
    <x v="26"/>
  </r>
  <r>
    <x v="55"/>
    <x v="27"/>
  </r>
  <r>
    <x v="56"/>
    <x v="10"/>
  </r>
  <r>
    <x v="57"/>
    <x v="2"/>
  </r>
  <r>
    <x v="58"/>
    <x v="28"/>
  </r>
  <r>
    <x v="59"/>
    <x v="26"/>
  </r>
  <r>
    <x v="60"/>
    <x v="22"/>
  </r>
  <r>
    <x v="61"/>
    <x v="29"/>
  </r>
  <r>
    <x v="62"/>
    <x v="13"/>
  </r>
  <r>
    <x v="63"/>
    <x v="20"/>
  </r>
  <r>
    <x v="64"/>
    <x v="30"/>
  </r>
  <r>
    <x v="65"/>
    <x v="31"/>
  </r>
  <r>
    <x v="66"/>
    <x v="32"/>
  </r>
  <r>
    <x v="67"/>
    <x v="33"/>
  </r>
  <r>
    <x v="68"/>
    <x v="16"/>
  </r>
  <r>
    <x v="69"/>
    <x v="34"/>
  </r>
  <r>
    <x v="70"/>
    <x v="16"/>
  </r>
  <r>
    <x v="71"/>
    <x v="27"/>
  </r>
  <r>
    <x v="72"/>
    <x v="13"/>
  </r>
  <r>
    <x v="73"/>
    <x v="12"/>
  </r>
  <r>
    <x v="74"/>
    <x v="35"/>
  </r>
  <r>
    <x v="75"/>
    <x v="1"/>
  </r>
  <r>
    <x v="76"/>
    <x v="36"/>
  </r>
  <r>
    <x v="77"/>
    <x v="20"/>
  </r>
  <r>
    <x v="78"/>
    <x v="2"/>
  </r>
  <r>
    <x v="79"/>
    <x v="15"/>
  </r>
  <r>
    <x v="80"/>
    <x v="34"/>
  </r>
  <r>
    <x v="81"/>
    <x v="3"/>
  </r>
  <r>
    <x v="82"/>
    <x v="14"/>
  </r>
  <r>
    <x v="83"/>
    <x v="37"/>
  </r>
  <r>
    <x v="84"/>
    <x v="27"/>
  </r>
  <r>
    <x v="85"/>
    <x v="27"/>
  </r>
  <r>
    <x v="86"/>
    <x v="38"/>
  </r>
  <r>
    <x v="87"/>
    <x v="39"/>
  </r>
  <r>
    <x v="88"/>
    <x v="40"/>
  </r>
  <r>
    <x v="89"/>
    <x v="15"/>
  </r>
  <r>
    <x v="90"/>
    <x v="6"/>
  </r>
  <r>
    <x v="91"/>
    <x v="22"/>
  </r>
  <r>
    <x v="92"/>
    <x v="41"/>
  </r>
  <r>
    <x v="93"/>
    <x v="42"/>
  </r>
  <r>
    <x v="94"/>
    <x v="35"/>
  </r>
  <r>
    <x v="95"/>
    <x v="36"/>
  </r>
  <r>
    <x v="96"/>
    <x v="30"/>
  </r>
  <r>
    <x v="97"/>
    <x v="43"/>
  </r>
  <r>
    <x v="98"/>
    <x v="44"/>
  </r>
  <r>
    <x v="99"/>
    <x v="31"/>
  </r>
  <r>
    <x v="100"/>
    <x v="38"/>
  </r>
  <r>
    <x v="101"/>
    <x v="39"/>
  </r>
  <r>
    <x v="102"/>
    <x v="40"/>
  </r>
  <r>
    <x v="103"/>
    <x v="2"/>
  </r>
  <r>
    <x v="104"/>
    <x v="31"/>
  </r>
  <r>
    <x v="105"/>
    <x v="17"/>
  </r>
  <r>
    <x v="106"/>
    <x v="41"/>
  </r>
  <r>
    <x v="107"/>
    <x v="39"/>
  </r>
  <r>
    <x v="108"/>
    <x v="31"/>
  </r>
  <r>
    <x v="109"/>
    <x v="34"/>
  </r>
  <r>
    <x v="110"/>
    <x v="9"/>
  </r>
  <r>
    <x v="111"/>
    <x v="26"/>
  </r>
  <r>
    <x v="112"/>
    <x v="3"/>
  </r>
  <r>
    <x v="113"/>
    <x v="9"/>
  </r>
  <r>
    <x v="114"/>
    <x v="23"/>
  </r>
  <r>
    <x v="115"/>
    <x v="42"/>
  </r>
  <r>
    <x v="116"/>
    <x v="41"/>
  </r>
  <r>
    <x v="117"/>
    <x v="37"/>
  </r>
  <r>
    <x v="118"/>
    <x v="14"/>
  </r>
  <r>
    <x v="119"/>
    <x v="23"/>
  </r>
  <r>
    <x v="120"/>
    <x v="17"/>
  </r>
  <r>
    <x v="121"/>
    <x v="14"/>
  </r>
  <r>
    <x v="122"/>
    <x v="23"/>
  </r>
  <r>
    <x v="123"/>
    <x v="43"/>
  </r>
  <r>
    <x v="124"/>
    <x v="33"/>
  </r>
  <r>
    <x v="125"/>
    <x v="45"/>
  </r>
  <r>
    <x v="126"/>
    <x v="37"/>
  </r>
  <r>
    <x v="127"/>
    <x v="43"/>
  </r>
  <r>
    <x v="128"/>
    <x v="44"/>
  </r>
  <r>
    <x v="129"/>
    <x v="3"/>
  </r>
  <r>
    <x v="130"/>
    <x v="28"/>
  </r>
  <r>
    <x v="131"/>
    <x v="44"/>
  </r>
  <r>
    <x v="132"/>
    <x v="43"/>
  </r>
  <r>
    <x v="133"/>
    <x v="25"/>
  </r>
  <r>
    <x v="134"/>
    <x v="23"/>
  </r>
  <r>
    <x v="135"/>
    <x v="46"/>
  </r>
  <r>
    <x v="136"/>
    <x v="12"/>
  </r>
  <r>
    <x v="137"/>
    <x v="31"/>
  </r>
  <r>
    <x v="138"/>
    <x v="2"/>
  </r>
  <r>
    <x v="139"/>
    <x v="18"/>
  </r>
  <r>
    <x v="140"/>
    <x v="1"/>
  </r>
  <r>
    <x v="141"/>
    <x v="44"/>
  </r>
  <r>
    <x v="142"/>
    <x v="26"/>
  </r>
  <r>
    <x v="143"/>
    <x v="38"/>
  </r>
  <r>
    <x v="144"/>
    <x v="38"/>
  </r>
  <r>
    <x v="145"/>
    <x v="38"/>
  </r>
  <r>
    <x v="146"/>
    <x v="26"/>
  </r>
  <r>
    <x v="147"/>
    <x v="15"/>
  </r>
  <r>
    <x v="148"/>
    <x v="18"/>
  </r>
  <r>
    <x v="149"/>
    <x v="44"/>
  </r>
  <r>
    <x v="150"/>
    <x v="19"/>
  </r>
  <r>
    <x v="151"/>
    <x v="45"/>
  </r>
  <r>
    <x v="152"/>
    <x v="42"/>
  </r>
  <r>
    <x v="153"/>
    <x v="13"/>
  </r>
  <r>
    <x v="154"/>
    <x v="40"/>
  </r>
  <r>
    <x v="155"/>
    <x v="25"/>
  </r>
  <r>
    <x v="156"/>
    <x v="29"/>
  </r>
  <r>
    <x v="157"/>
    <x v="24"/>
  </r>
  <r>
    <x v="62"/>
    <x v="1"/>
  </r>
  <r>
    <x v="158"/>
    <x v="38"/>
  </r>
  <r>
    <x v="159"/>
    <x v="47"/>
  </r>
  <r>
    <x v="160"/>
    <x v="42"/>
  </r>
  <r>
    <x v="161"/>
    <x v="38"/>
  </r>
  <r>
    <x v="162"/>
    <x v="44"/>
  </r>
  <r>
    <x v="163"/>
    <x v="32"/>
  </r>
  <r>
    <x v="164"/>
    <x v="9"/>
  </r>
  <r>
    <x v="165"/>
    <x v="34"/>
  </r>
  <r>
    <x v="166"/>
    <x v="48"/>
  </r>
  <r>
    <x v="167"/>
    <x v="44"/>
  </r>
  <r>
    <x v="168"/>
    <x v="1"/>
  </r>
  <r>
    <x v="169"/>
    <x v="47"/>
  </r>
  <r>
    <x v="170"/>
    <x v="21"/>
  </r>
  <r>
    <x v="171"/>
    <x v="38"/>
  </r>
  <r>
    <x v="172"/>
    <x v="20"/>
  </r>
  <r>
    <x v="173"/>
    <x v="35"/>
  </r>
  <r>
    <x v="174"/>
    <x v="47"/>
  </r>
  <r>
    <x v="175"/>
    <x v="25"/>
  </r>
  <r>
    <x v="176"/>
    <x v="1"/>
  </r>
  <r>
    <x v="177"/>
    <x v="20"/>
  </r>
  <r>
    <x v="178"/>
    <x v="45"/>
  </r>
  <r>
    <x v="179"/>
    <x v="14"/>
  </r>
  <r>
    <x v="180"/>
    <x v="44"/>
  </r>
  <r>
    <x v="181"/>
    <x v="9"/>
  </r>
  <r>
    <x v="182"/>
    <x v="28"/>
  </r>
  <r>
    <x v="183"/>
    <x v="15"/>
  </r>
  <r>
    <x v="184"/>
    <x v="25"/>
  </r>
  <r>
    <x v="185"/>
    <x v="7"/>
  </r>
  <r>
    <x v="186"/>
    <x v="32"/>
  </r>
  <r>
    <x v="187"/>
    <x v="46"/>
  </r>
  <r>
    <x v="188"/>
    <x v="25"/>
  </r>
  <r>
    <x v="189"/>
    <x v="34"/>
  </r>
  <r>
    <x v="190"/>
    <x v="15"/>
  </r>
  <r>
    <x v="191"/>
    <x v="8"/>
  </r>
  <r>
    <x v="192"/>
    <x v="40"/>
  </r>
  <r>
    <x v="193"/>
    <x v="25"/>
  </r>
  <r>
    <x v="194"/>
    <x v="16"/>
  </r>
  <r>
    <x v="195"/>
    <x v="16"/>
  </r>
  <r>
    <x v="196"/>
    <x v="27"/>
  </r>
  <r>
    <x v="197"/>
    <x v="23"/>
  </r>
  <r>
    <x v="198"/>
    <x v="34"/>
  </r>
  <r>
    <x v="199"/>
    <x v="39"/>
  </r>
  <r>
    <x v="200"/>
    <x v="45"/>
  </r>
  <r>
    <x v="201"/>
    <x v="47"/>
  </r>
  <r>
    <x v="202"/>
    <x v="13"/>
  </r>
  <r>
    <x v="203"/>
    <x v="30"/>
  </r>
  <r>
    <x v="204"/>
    <x v="3"/>
  </r>
  <r>
    <x v="205"/>
    <x v="33"/>
  </r>
  <r>
    <x v="206"/>
    <x v="37"/>
  </r>
  <r>
    <x v="207"/>
    <x v="49"/>
  </r>
  <r>
    <x v="208"/>
    <x v="6"/>
  </r>
  <r>
    <x v="209"/>
    <x v="20"/>
  </r>
  <r>
    <x v="210"/>
    <x v="9"/>
  </r>
  <r>
    <x v="211"/>
    <x v="3"/>
  </r>
  <r>
    <x v="212"/>
    <x v="49"/>
  </r>
  <r>
    <x v="213"/>
    <x v="13"/>
  </r>
  <r>
    <x v="214"/>
    <x v="45"/>
  </r>
  <r>
    <x v="215"/>
    <x v="34"/>
  </r>
  <r>
    <x v="216"/>
    <x v="21"/>
  </r>
  <r>
    <x v="217"/>
    <x v="16"/>
  </r>
  <r>
    <x v="218"/>
    <x v="38"/>
  </r>
  <r>
    <x v="219"/>
    <x v="24"/>
  </r>
  <r>
    <x v="220"/>
    <x v="48"/>
  </r>
  <r>
    <x v="221"/>
    <x v="38"/>
  </r>
  <r>
    <x v="9"/>
    <x v="12"/>
  </r>
  <r>
    <x v="222"/>
    <x v="14"/>
  </r>
  <r>
    <x v="223"/>
    <x v="13"/>
  </r>
  <r>
    <x v="224"/>
    <x v="48"/>
  </r>
  <r>
    <x v="225"/>
    <x v="15"/>
  </r>
  <r>
    <x v="226"/>
    <x v="26"/>
  </r>
  <r>
    <x v="227"/>
    <x v="35"/>
  </r>
  <r>
    <x v="228"/>
    <x v="9"/>
  </r>
  <r>
    <x v="229"/>
    <x v="26"/>
  </r>
  <r>
    <x v="230"/>
    <x v="34"/>
  </r>
  <r>
    <x v="231"/>
    <x v="6"/>
  </r>
  <r>
    <x v="232"/>
    <x v="8"/>
  </r>
  <r>
    <x v="233"/>
    <x v="36"/>
  </r>
  <r>
    <x v="234"/>
    <x v="22"/>
  </r>
  <r>
    <x v="235"/>
    <x v="42"/>
  </r>
  <r>
    <x v="236"/>
    <x v="30"/>
  </r>
  <r>
    <x v="237"/>
    <x v="38"/>
  </r>
  <r>
    <x v="238"/>
    <x v="43"/>
  </r>
  <r>
    <x v="239"/>
    <x v="2"/>
  </r>
  <r>
    <x v="240"/>
    <x v="36"/>
  </r>
  <r>
    <x v="241"/>
    <x v="17"/>
  </r>
  <r>
    <x v="242"/>
    <x v="33"/>
  </r>
  <r>
    <x v="243"/>
    <x v="16"/>
  </r>
  <r>
    <x v="244"/>
    <x v="47"/>
  </r>
  <r>
    <x v="245"/>
    <x v="3"/>
  </r>
  <r>
    <x v="246"/>
    <x v="15"/>
  </r>
  <r>
    <x v="247"/>
    <x v="3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0">
  <r>
    <x v="0"/>
    <x v="0"/>
    <x v="0"/>
    <x v="0"/>
    <x v="0"/>
    <x v="0"/>
  </r>
  <r>
    <x v="1"/>
    <x v="0"/>
    <x v="0"/>
    <x v="0"/>
    <x v="0"/>
    <x v="0"/>
  </r>
  <r>
    <x v="2"/>
    <x v="0"/>
    <x v="0"/>
    <x v="0"/>
    <x v="0"/>
    <x v="0"/>
  </r>
  <r>
    <x v="3"/>
    <x v="1"/>
    <x v="1"/>
    <x v="1"/>
    <x v="1"/>
    <x v="1"/>
  </r>
  <r>
    <x v="4"/>
    <x v="2"/>
    <x v="2"/>
    <x v="2"/>
    <x v="2"/>
    <x v="2"/>
  </r>
  <r>
    <x v="5"/>
    <x v="0"/>
    <x v="0"/>
    <x v="0"/>
    <x v="0"/>
    <x v="0"/>
  </r>
  <r>
    <x v="6"/>
    <x v="1"/>
    <x v="1"/>
    <x v="1"/>
    <x v="1"/>
    <x v="1"/>
  </r>
  <r>
    <x v="7"/>
    <x v="0"/>
    <x v="0"/>
    <x v="0"/>
    <x v="0"/>
    <x v="0"/>
  </r>
  <r>
    <x v="8"/>
    <x v="2"/>
    <x v="2"/>
    <x v="2"/>
    <x v="2"/>
    <x v="2"/>
  </r>
  <r>
    <x v="9"/>
    <x v="0"/>
    <x v="0"/>
    <x v="0"/>
    <x v="0"/>
    <x v="0"/>
  </r>
  <r>
    <x v="10"/>
    <x v="1"/>
    <x v="1"/>
    <x v="1"/>
    <x v="1"/>
    <x v="1"/>
  </r>
  <r>
    <x v="11"/>
    <x v="2"/>
    <x v="2"/>
    <x v="2"/>
    <x v="2"/>
    <x v="2"/>
  </r>
  <r>
    <x v="12"/>
    <x v="0"/>
    <x v="0"/>
    <x v="0"/>
    <x v="0"/>
    <x v="0"/>
  </r>
  <r>
    <x v="13"/>
    <x v="0"/>
    <x v="0"/>
    <x v="0"/>
    <x v="0"/>
    <x v="0"/>
  </r>
  <r>
    <x v="14"/>
    <x v="0"/>
    <x v="0"/>
    <x v="0"/>
    <x v="0"/>
    <x v="0"/>
  </r>
  <r>
    <x v="15"/>
    <x v="0"/>
    <x v="0"/>
    <x v="0"/>
    <x v="0"/>
    <x v="0"/>
  </r>
  <r>
    <x v="16"/>
    <x v="1"/>
    <x v="1"/>
    <x v="1"/>
    <x v="1"/>
    <x v="1"/>
  </r>
  <r>
    <x v="17"/>
    <x v="2"/>
    <x v="2"/>
    <x v="2"/>
    <x v="2"/>
    <x v="2"/>
  </r>
  <r>
    <x v="18"/>
    <x v="0"/>
    <x v="0"/>
    <x v="0"/>
    <x v="0"/>
    <x v="0"/>
  </r>
  <r>
    <x v="19"/>
    <x v="0"/>
    <x v="0"/>
    <x v="0"/>
    <x v="0"/>
    <x v="0"/>
  </r>
  <r>
    <x v="20"/>
    <x v="0"/>
    <x v="0"/>
    <x v="0"/>
    <x v="0"/>
    <x v="0"/>
  </r>
  <r>
    <x v="21"/>
    <x v="2"/>
    <x v="2"/>
    <x v="2"/>
    <x v="2"/>
    <x v="2"/>
  </r>
  <r>
    <x v="22"/>
    <x v="1"/>
    <x v="1"/>
    <x v="1"/>
    <x v="1"/>
    <x v="1"/>
  </r>
  <r>
    <x v="23"/>
    <x v="2"/>
    <x v="2"/>
    <x v="2"/>
    <x v="2"/>
    <x v="2"/>
  </r>
  <r>
    <x v="24"/>
    <x v="2"/>
    <x v="2"/>
    <x v="2"/>
    <x v="2"/>
    <x v="2"/>
  </r>
  <r>
    <x v="25"/>
    <x v="0"/>
    <x v="0"/>
    <x v="0"/>
    <x v="0"/>
    <x v="0"/>
  </r>
  <r>
    <x v="26"/>
    <x v="2"/>
    <x v="2"/>
    <x v="2"/>
    <x v="2"/>
    <x v="2"/>
  </r>
  <r>
    <x v="27"/>
    <x v="2"/>
    <x v="2"/>
    <x v="2"/>
    <x v="2"/>
    <x v="2"/>
  </r>
  <r>
    <x v="28"/>
    <x v="2"/>
    <x v="2"/>
    <x v="2"/>
    <x v="2"/>
    <x v="2"/>
  </r>
  <r>
    <x v="29"/>
    <x v="0"/>
    <x v="0"/>
    <x v="0"/>
    <x v="0"/>
    <x v="0"/>
  </r>
  <r>
    <x v="30"/>
    <x v="0"/>
    <x v="0"/>
    <x v="0"/>
    <x v="0"/>
    <x v="0"/>
  </r>
  <r>
    <x v="31"/>
    <x v="0"/>
    <x v="0"/>
    <x v="0"/>
    <x v="0"/>
    <x v="0"/>
  </r>
  <r>
    <x v="32"/>
    <x v="0"/>
    <x v="0"/>
    <x v="0"/>
    <x v="0"/>
    <x v="0"/>
  </r>
  <r>
    <x v="33"/>
    <x v="1"/>
    <x v="1"/>
    <x v="1"/>
    <x v="1"/>
    <x v="1"/>
  </r>
  <r>
    <x v="34"/>
    <x v="0"/>
    <x v="0"/>
    <x v="0"/>
    <x v="0"/>
    <x v="0"/>
  </r>
  <r>
    <x v="35"/>
    <x v="0"/>
    <x v="0"/>
    <x v="0"/>
    <x v="0"/>
    <x v="0"/>
  </r>
  <r>
    <x v="36"/>
    <x v="0"/>
    <x v="0"/>
    <x v="0"/>
    <x v="0"/>
    <x v="0"/>
  </r>
  <r>
    <x v="37"/>
    <x v="0"/>
    <x v="0"/>
    <x v="0"/>
    <x v="0"/>
    <x v="0"/>
  </r>
  <r>
    <x v="38"/>
    <x v="2"/>
    <x v="2"/>
    <x v="2"/>
    <x v="2"/>
    <x v="2"/>
  </r>
  <r>
    <x v="39"/>
    <x v="2"/>
    <x v="2"/>
    <x v="2"/>
    <x v="2"/>
    <x v="2"/>
  </r>
  <r>
    <x v="40"/>
    <x v="3"/>
    <x v="3"/>
    <x v="3"/>
    <x v="3"/>
    <x v="3"/>
  </r>
  <r>
    <x v="41"/>
    <x v="1"/>
    <x v="1"/>
    <x v="1"/>
    <x v="1"/>
    <x v="1"/>
  </r>
  <r>
    <x v="42"/>
    <x v="0"/>
    <x v="0"/>
    <x v="0"/>
    <x v="0"/>
    <x v="0"/>
  </r>
  <r>
    <x v="43"/>
    <x v="4"/>
    <x v="4"/>
    <x v="4"/>
    <x v="4"/>
    <x v="4"/>
  </r>
  <r>
    <x v="44"/>
    <x v="2"/>
    <x v="2"/>
    <x v="2"/>
    <x v="2"/>
    <x v="2"/>
  </r>
  <r>
    <x v="45"/>
    <x v="0"/>
    <x v="0"/>
    <x v="0"/>
    <x v="0"/>
    <x v="0"/>
  </r>
  <r>
    <x v="46"/>
    <x v="0"/>
    <x v="0"/>
    <x v="0"/>
    <x v="0"/>
    <x v="0"/>
  </r>
  <r>
    <x v="47"/>
    <x v="0"/>
    <x v="0"/>
    <x v="0"/>
    <x v="0"/>
    <x v="0"/>
  </r>
  <r>
    <x v="48"/>
    <x v="2"/>
    <x v="2"/>
    <x v="2"/>
    <x v="2"/>
    <x v="2"/>
  </r>
  <r>
    <x v="49"/>
    <x v="2"/>
    <x v="2"/>
    <x v="2"/>
    <x v="2"/>
    <x v="2"/>
  </r>
  <r>
    <x v="50"/>
    <x v="0"/>
    <x v="0"/>
    <x v="0"/>
    <x v="0"/>
    <x v="0"/>
  </r>
  <r>
    <x v="51"/>
    <x v="2"/>
    <x v="2"/>
    <x v="2"/>
    <x v="2"/>
    <x v="2"/>
  </r>
  <r>
    <x v="52"/>
    <x v="2"/>
    <x v="2"/>
    <x v="2"/>
    <x v="2"/>
    <x v="2"/>
  </r>
  <r>
    <x v="53"/>
    <x v="1"/>
    <x v="1"/>
    <x v="1"/>
    <x v="1"/>
    <x v="1"/>
  </r>
  <r>
    <x v="54"/>
    <x v="2"/>
    <x v="2"/>
    <x v="2"/>
    <x v="2"/>
    <x v="2"/>
  </r>
  <r>
    <x v="55"/>
    <x v="5"/>
    <x v="5"/>
    <x v="5"/>
    <x v="5"/>
    <x v="5"/>
  </r>
  <r>
    <x v="56"/>
    <x v="2"/>
    <x v="2"/>
    <x v="2"/>
    <x v="2"/>
    <x v="2"/>
  </r>
  <r>
    <x v="57"/>
    <x v="0"/>
    <x v="0"/>
    <x v="0"/>
    <x v="0"/>
    <x v="0"/>
  </r>
  <r>
    <x v="58"/>
    <x v="0"/>
    <x v="0"/>
    <x v="0"/>
    <x v="0"/>
    <x v="0"/>
  </r>
  <r>
    <x v="59"/>
    <x v="2"/>
    <x v="2"/>
    <x v="2"/>
    <x v="2"/>
    <x v="2"/>
  </r>
  <r>
    <x v="60"/>
    <x v="0"/>
    <x v="0"/>
    <x v="0"/>
    <x v="0"/>
    <x v="0"/>
  </r>
  <r>
    <x v="61"/>
    <x v="6"/>
    <x v="6"/>
    <x v="6"/>
    <x v="6"/>
    <x v="6"/>
  </r>
  <r>
    <x v="62"/>
    <x v="0"/>
    <x v="0"/>
    <x v="0"/>
    <x v="0"/>
    <x v="0"/>
  </r>
  <r>
    <x v="63"/>
    <x v="0"/>
    <x v="0"/>
    <x v="0"/>
    <x v="0"/>
    <x v="0"/>
  </r>
  <r>
    <x v="64"/>
    <x v="7"/>
    <x v="7"/>
    <x v="7"/>
    <x v="7"/>
    <x v="7"/>
  </r>
  <r>
    <x v="65"/>
    <x v="2"/>
    <x v="2"/>
    <x v="2"/>
    <x v="2"/>
    <x v="2"/>
  </r>
  <r>
    <x v="66"/>
    <x v="0"/>
    <x v="0"/>
    <x v="0"/>
    <x v="0"/>
    <x v="0"/>
  </r>
  <r>
    <x v="67"/>
    <x v="1"/>
    <x v="1"/>
    <x v="1"/>
    <x v="1"/>
    <x v="1"/>
  </r>
  <r>
    <x v="68"/>
    <x v="2"/>
    <x v="2"/>
    <x v="2"/>
    <x v="2"/>
    <x v="2"/>
  </r>
  <r>
    <x v="69"/>
    <x v="2"/>
    <x v="2"/>
    <x v="2"/>
    <x v="2"/>
    <x v="2"/>
  </r>
  <r>
    <x v="70"/>
    <x v="0"/>
    <x v="0"/>
    <x v="0"/>
    <x v="0"/>
    <x v="0"/>
  </r>
  <r>
    <x v="71"/>
    <x v="0"/>
    <x v="0"/>
    <x v="0"/>
    <x v="0"/>
    <x v="0"/>
  </r>
  <r>
    <x v="72"/>
    <x v="0"/>
    <x v="0"/>
    <x v="0"/>
    <x v="0"/>
    <x v="0"/>
  </r>
  <r>
    <x v="73"/>
    <x v="0"/>
    <x v="0"/>
    <x v="0"/>
    <x v="0"/>
    <x v="0"/>
  </r>
  <r>
    <x v="74"/>
    <x v="0"/>
    <x v="0"/>
    <x v="0"/>
    <x v="0"/>
    <x v="0"/>
  </r>
  <r>
    <x v="75"/>
    <x v="0"/>
    <x v="0"/>
    <x v="0"/>
    <x v="0"/>
    <x v="0"/>
  </r>
  <r>
    <x v="76"/>
    <x v="0"/>
    <x v="0"/>
    <x v="0"/>
    <x v="0"/>
    <x v="0"/>
  </r>
  <r>
    <x v="77"/>
    <x v="2"/>
    <x v="2"/>
    <x v="2"/>
    <x v="2"/>
    <x v="2"/>
  </r>
  <r>
    <x v="78"/>
    <x v="2"/>
    <x v="2"/>
    <x v="2"/>
    <x v="2"/>
    <x v="2"/>
  </r>
  <r>
    <x v="79"/>
    <x v="2"/>
    <x v="2"/>
    <x v="2"/>
    <x v="2"/>
    <x v="2"/>
  </r>
  <r>
    <x v="80"/>
    <x v="2"/>
    <x v="2"/>
    <x v="2"/>
    <x v="2"/>
    <x v="2"/>
  </r>
  <r>
    <x v="81"/>
    <x v="3"/>
    <x v="3"/>
    <x v="3"/>
    <x v="3"/>
    <x v="3"/>
  </r>
  <r>
    <x v="82"/>
    <x v="0"/>
    <x v="0"/>
    <x v="0"/>
    <x v="0"/>
    <x v="0"/>
  </r>
  <r>
    <x v="83"/>
    <x v="0"/>
    <x v="0"/>
    <x v="0"/>
    <x v="0"/>
    <x v="0"/>
  </r>
  <r>
    <x v="84"/>
    <x v="2"/>
    <x v="2"/>
    <x v="2"/>
    <x v="2"/>
    <x v="2"/>
  </r>
  <r>
    <x v="85"/>
    <x v="0"/>
    <x v="0"/>
    <x v="0"/>
    <x v="0"/>
    <x v="0"/>
  </r>
  <r>
    <x v="86"/>
    <x v="5"/>
    <x v="5"/>
    <x v="5"/>
    <x v="5"/>
    <x v="5"/>
  </r>
  <r>
    <x v="87"/>
    <x v="0"/>
    <x v="0"/>
    <x v="0"/>
    <x v="0"/>
    <x v="0"/>
  </r>
  <r>
    <x v="88"/>
    <x v="0"/>
    <x v="0"/>
    <x v="0"/>
    <x v="0"/>
    <x v="0"/>
  </r>
  <r>
    <x v="89"/>
    <x v="0"/>
    <x v="0"/>
    <x v="0"/>
    <x v="0"/>
    <x v="0"/>
  </r>
  <r>
    <x v="90"/>
    <x v="2"/>
    <x v="2"/>
    <x v="2"/>
    <x v="2"/>
    <x v="2"/>
  </r>
  <r>
    <x v="91"/>
    <x v="2"/>
    <x v="2"/>
    <x v="2"/>
    <x v="2"/>
    <x v="2"/>
  </r>
  <r>
    <x v="92"/>
    <x v="1"/>
    <x v="1"/>
    <x v="1"/>
    <x v="1"/>
    <x v="1"/>
  </r>
  <r>
    <x v="93"/>
    <x v="0"/>
    <x v="0"/>
    <x v="0"/>
    <x v="0"/>
    <x v="0"/>
  </r>
  <r>
    <x v="94"/>
    <x v="0"/>
    <x v="0"/>
    <x v="0"/>
    <x v="0"/>
    <x v="0"/>
  </r>
  <r>
    <x v="95"/>
    <x v="2"/>
    <x v="2"/>
    <x v="2"/>
    <x v="2"/>
    <x v="2"/>
  </r>
  <r>
    <x v="96"/>
    <x v="0"/>
    <x v="0"/>
    <x v="0"/>
    <x v="0"/>
    <x v="0"/>
  </r>
  <r>
    <x v="97"/>
    <x v="1"/>
    <x v="1"/>
    <x v="1"/>
    <x v="1"/>
    <x v="1"/>
  </r>
  <r>
    <x v="98"/>
    <x v="2"/>
    <x v="2"/>
    <x v="2"/>
    <x v="2"/>
    <x v="2"/>
  </r>
  <r>
    <x v="99"/>
    <x v="0"/>
    <x v="0"/>
    <x v="0"/>
    <x v="0"/>
    <x v="0"/>
  </r>
  <r>
    <x v="100"/>
    <x v="0"/>
    <x v="0"/>
    <x v="0"/>
    <x v="0"/>
    <x v="0"/>
  </r>
  <r>
    <x v="101"/>
    <x v="2"/>
    <x v="2"/>
    <x v="2"/>
    <x v="2"/>
    <x v="2"/>
  </r>
  <r>
    <x v="102"/>
    <x v="2"/>
    <x v="2"/>
    <x v="2"/>
    <x v="2"/>
    <x v="2"/>
  </r>
  <r>
    <x v="103"/>
    <x v="2"/>
    <x v="2"/>
    <x v="2"/>
    <x v="2"/>
    <x v="2"/>
  </r>
  <r>
    <x v="104"/>
    <x v="0"/>
    <x v="0"/>
    <x v="0"/>
    <x v="0"/>
    <x v="0"/>
  </r>
  <r>
    <x v="105"/>
    <x v="0"/>
    <x v="0"/>
    <x v="0"/>
    <x v="0"/>
    <x v="0"/>
  </r>
  <r>
    <x v="106"/>
    <x v="0"/>
    <x v="0"/>
    <x v="0"/>
    <x v="0"/>
    <x v="0"/>
  </r>
  <r>
    <x v="107"/>
    <x v="1"/>
    <x v="1"/>
    <x v="1"/>
    <x v="1"/>
    <x v="1"/>
  </r>
  <r>
    <x v="108"/>
    <x v="2"/>
    <x v="2"/>
    <x v="2"/>
    <x v="2"/>
    <x v="2"/>
  </r>
  <r>
    <x v="109"/>
    <x v="2"/>
    <x v="2"/>
    <x v="2"/>
    <x v="2"/>
    <x v="2"/>
  </r>
  <r>
    <x v="110"/>
    <x v="0"/>
    <x v="0"/>
    <x v="0"/>
    <x v="0"/>
    <x v="0"/>
  </r>
  <r>
    <x v="111"/>
    <x v="0"/>
    <x v="0"/>
    <x v="0"/>
    <x v="0"/>
    <x v="0"/>
  </r>
  <r>
    <x v="112"/>
    <x v="2"/>
    <x v="2"/>
    <x v="2"/>
    <x v="2"/>
    <x v="2"/>
  </r>
  <r>
    <x v="113"/>
    <x v="2"/>
    <x v="2"/>
    <x v="2"/>
    <x v="2"/>
    <x v="2"/>
  </r>
  <r>
    <x v="114"/>
    <x v="8"/>
    <x v="8"/>
    <x v="8"/>
    <x v="8"/>
    <x v="8"/>
  </r>
  <r>
    <x v="115"/>
    <x v="2"/>
    <x v="2"/>
    <x v="2"/>
    <x v="2"/>
    <x v="2"/>
  </r>
  <r>
    <x v="116"/>
    <x v="2"/>
    <x v="2"/>
    <x v="2"/>
    <x v="2"/>
    <x v="2"/>
  </r>
  <r>
    <x v="117"/>
    <x v="0"/>
    <x v="0"/>
    <x v="0"/>
    <x v="0"/>
    <x v="0"/>
  </r>
  <r>
    <x v="118"/>
    <x v="2"/>
    <x v="2"/>
    <x v="2"/>
    <x v="2"/>
    <x v="2"/>
  </r>
  <r>
    <x v="119"/>
    <x v="1"/>
    <x v="1"/>
    <x v="1"/>
    <x v="1"/>
    <x v="1"/>
  </r>
  <r>
    <x v="120"/>
    <x v="0"/>
    <x v="0"/>
    <x v="0"/>
    <x v="0"/>
    <x v="0"/>
  </r>
  <r>
    <x v="121"/>
    <x v="2"/>
    <x v="2"/>
    <x v="2"/>
    <x v="2"/>
    <x v="2"/>
  </r>
  <r>
    <x v="122"/>
    <x v="2"/>
    <x v="2"/>
    <x v="2"/>
    <x v="2"/>
    <x v="2"/>
  </r>
  <r>
    <x v="123"/>
    <x v="2"/>
    <x v="2"/>
    <x v="2"/>
    <x v="2"/>
    <x v="2"/>
  </r>
  <r>
    <x v="124"/>
    <x v="0"/>
    <x v="0"/>
    <x v="0"/>
    <x v="0"/>
    <x v="0"/>
  </r>
  <r>
    <x v="125"/>
    <x v="2"/>
    <x v="2"/>
    <x v="2"/>
    <x v="2"/>
    <x v="2"/>
  </r>
  <r>
    <x v="126"/>
    <x v="2"/>
    <x v="2"/>
    <x v="2"/>
    <x v="2"/>
    <x v="2"/>
  </r>
  <r>
    <x v="127"/>
    <x v="0"/>
    <x v="0"/>
    <x v="0"/>
    <x v="0"/>
    <x v="0"/>
  </r>
  <r>
    <x v="128"/>
    <x v="0"/>
    <x v="0"/>
    <x v="0"/>
    <x v="0"/>
    <x v="0"/>
  </r>
  <r>
    <x v="129"/>
    <x v="1"/>
    <x v="1"/>
    <x v="1"/>
    <x v="1"/>
    <x v="1"/>
  </r>
  <r>
    <x v="130"/>
    <x v="0"/>
    <x v="0"/>
    <x v="0"/>
    <x v="0"/>
    <x v="0"/>
  </r>
  <r>
    <x v="131"/>
    <x v="1"/>
    <x v="1"/>
    <x v="1"/>
    <x v="1"/>
    <x v="1"/>
  </r>
  <r>
    <x v="132"/>
    <x v="2"/>
    <x v="2"/>
    <x v="2"/>
    <x v="2"/>
    <x v="2"/>
  </r>
  <r>
    <x v="133"/>
    <x v="2"/>
    <x v="2"/>
    <x v="2"/>
    <x v="2"/>
    <x v="2"/>
  </r>
  <r>
    <x v="134"/>
    <x v="0"/>
    <x v="0"/>
    <x v="0"/>
    <x v="0"/>
    <x v="0"/>
  </r>
  <r>
    <x v="135"/>
    <x v="0"/>
    <x v="0"/>
    <x v="0"/>
    <x v="0"/>
    <x v="0"/>
  </r>
  <r>
    <x v="136"/>
    <x v="0"/>
    <x v="0"/>
    <x v="0"/>
    <x v="0"/>
    <x v="0"/>
  </r>
  <r>
    <x v="137"/>
    <x v="9"/>
    <x v="9"/>
    <x v="9"/>
    <x v="9"/>
    <x v="9"/>
  </r>
  <r>
    <x v="138"/>
    <x v="2"/>
    <x v="2"/>
    <x v="2"/>
    <x v="2"/>
    <x v="2"/>
  </r>
  <r>
    <x v="139"/>
    <x v="2"/>
    <x v="2"/>
    <x v="2"/>
    <x v="2"/>
    <x v="2"/>
  </r>
  <r>
    <x v="140"/>
    <x v="1"/>
    <x v="1"/>
    <x v="1"/>
    <x v="1"/>
    <x v="1"/>
  </r>
  <r>
    <x v="141"/>
    <x v="1"/>
    <x v="1"/>
    <x v="1"/>
    <x v="1"/>
    <x v="1"/>
  </r>
  <r>
    <x v="142"/>
    <x v="0"/>
    <x v="0"/>
    <x v="0"/>
    <x v="0"/>
    <x v="0"/>
  </r>
  <r>
    <x v="143"/>
    <x v="2"/>
    <x v="2"/>
    <x v="2"/>
    <x v="2"/>
    <x v="2"/>
  </r>
  <r>
    <x v="144"/>
    <x v="0"/>
    <x v="0"/>
    <x v="0"/>
    <x v="0"/>
    <x v="0"/>
  </r>
  <r>
    <x v="145"/>
    <x v="2"/>
    <x v="2"/>
    <x v="2"/>
    <x v="2"/>
    <x v="2"/>
  </r>
  <r>
    <x v="146"/>
    <x v="0"/>
    <x v="0"/>
    <x v="0"/>
    <x v="0"/>
    <x v="0"/>
  </r>
  <r>
    <x v="147"/>
    <x v="0"/>
    <x v="0"/>
    <x v="0"/>
    <x v="0"/>
    <x v="0"/>
  </r>
  <r>
    <x v="148"/>
    <x v="2"/>
    <x v="2"/>
    <x v="2"/>
    <x v="2"/>
    <x v="2"/>
  </r>
  <r>
    <x v="149"/>
    <x v="1"/>
    <x v="1"/>
    <x v="1"/>
    <x v="1"/>
    <x v="1"/>
  </r>
  <r>
    <x v="150"/>
    <x v="0"/>
    <x v="0"/>
    <x v="0"/>
    <x v="0"/>
    <x v="0"/>
  </r>
  <r>
    <x v="151"/>
    <x v="0"/>
    <x v="0"/>
    <x v="0"/>
    <x v="0"/>
    <x v="0"/>
  </r>
  <r>
    <x v="152"/>
    <x v="0"/>
    <x v="0"/>
    <x v="0"/>
    <x v="0"/>
    <x v="0"/>
  </r>
  <r>
    <x v="153"/>
    <x v="0"/>
    <x v="0"/>
    <x v="0"/>
    <x v="0"/>
    <x v="0"/>
  </r>
  <r>
    <x v="154"/>
    <x v="2"/>
    <x v="2"/>
    <x v="2"/>
    <x v="2"/>
    <x v="2"/>
  </r>
  <r>
    <x v="155"/>
    <x v="0"/>
    <x v="0"/>
    <x v="0"/>
    <x v="0"/>
    <x v="0"/>
  </r>
  <r>
    <x v="156"/>
    <x v="2"/>
    <x v="2"/>
    <x v="2"/>
    <x v="2"/>
    <x v="2"/>
  </r>
  <r>
    <x v="157"/>
    <x v="2"/>
    <x v="2"/>
    <x v="2"/>
    <x v="2"/>
    <x v="2"/>
  </r>
  <r>
    <x v="62"/>
    <x v="0"/>
    <x v="0"/>
    <x v="0"/>
    <x v="0"/>
    <x v="0"/>
  </r>
  <r>
    <x v="158"/>
    <x v="1"/>
    <x v="1"/>
    <x v="1"/>
    <x v="1"/>
    <x v="1"/>
  </r>
  <r>
    <x v="159"/>
    <x v="1"/>
    <x v="1"/>
    <x v="1"/>
    <x v="1"/>
    <x v="1"/>
  </r>
  <r>
    <x v="160"/>
    <x v="2"/>
    <x v="2"/>
    <x v="2"/>
    <x v="2"/>
    <x v="2"/>
  </r>
  <r>
    <x v="161"/>
    <x v="2"/>
    <x v="2"/>
    <x v="2"/>
    <x v="2"/>
    <x v="2"/>
  </r>
  <r>
    <x v="162"/>
    <x v="2"/>
    <x v="2"/>
    <x v="2"/>
    <x v="2"/>
    <x v="2"/>
  </r>
  <r>
    <x v="163"/>
    <x v="1"/>
    <x v="1"/>
    <x v="1"/>
    <x v="1"/>
    <x v="1"/>
  </r>
  <r>
    <x v="164"/>
    <x v="0"/>
    <x v="0"/>
    <x v="0"/>
    <x v="0"/>
    <x v="0"/>
  </r>
  <r>
    <x v="165"/>
    <x v="2"/>
    <x v="2"/>
    <x v="2"/>
    <x v="2"/>
    <x v="2"/>
  </r>
  <r>
    <x v="166"/>
    <x v="0"/>
    <x v="0"/>
    <x v="0"/>
    <x v="0"/>
    <x v="0"/>
  </r>
  <r>
    <x v="167"/>
    <x v="2"/>
    <x v="2"/>
    <x v="2"/>
    <x v="2"/>
    <x v="2"/>
  </r>
  <r>
    <x v="168"/>
    <x v="2"/>
    <x v="2"/>
    <x v="2"/>
    <x v="2"/>
    <x v="2"/>
  </r>
  <r>
    <x v="169"/>
    <x v="1"/>
    <x v="1"/>
    <x v="1"/>
    <x v="1"/>
    <x v="1"/>
  </r>
  <r>
    <x v="170"/>
    <x v="2"/>
    <x v="2"/>
    <x v="2"/>
    <x v="2"/>
    <x v="2"/>
  </r>
  <r>
    <x v="171"/>
    <x v="1"/>
    <x v="1"/>
    <x v="1"/>
    <x v="1"/>
    <x v="1"/>
  </r>
  <r>
    <x v="172"/>
    <x v="2"/>
    <x v="2"/>
    <x v="2"/>
    <x v="2"/>
    <x v="2"/>
  </r>
  <r>
    <x v="173"/>
    <x v="0"/>
    <x v="0"/>
    <x v="0"/>
    <x v="0"/>
    <x v="0"/>
  </r>
  <r>
    <x v="174"/>
    <x v="2"/>
    <x v="2"/>
    <x v="2"/>
    <x v="2"/>
    <x v="2"/>
  </r>
  <r>
    <x v="175"/>
    <x v="1"/>
    <x v="1"/>
    <x v="1"/>
    <x v="1"/>
    <x v="1"/>
  </r>
  <r>
    <x v="176"/>
    <x v="1"/>
    <x v="1"/>
    <x v="1"/>
    <x v="1"/>
    <x v="1"/>
  </r>
  <r>
    <x v="177"/>
    <x v="0"/>
    <x v="0"/>
    <x v="0"/>
    <x v="0"/>
    <x v="0"/>
  </r>
  <r>
    <x v="178"/>
    <x v="2"/>
    <x v="2"/>
    <x v="2"/>
    <x v="2"/>
    <x v="2"/>
  </r>
  <r>
    <x v="179"/>
    <x v="1"/>
    <x v="1"/>
    <x v="1"/>
    <x v="1"/>
    <x v="1"/>
  </r>
  <r>
    <x v="180"/>
    <x v="1"/>
    <x v="1"/>
    <x v="1"/>
    <x v="1"/>
    <x v="1"/>
  </r>
  <r>
    <x v="181"/>
    <x v="2"/>
    <x v="2"/>
    <x v="2"/>
    <x v="2"/>
    <x v="2"/>
  </r>
  <r>
    <x v="182"/>
    <x v="2"/>
    <x v="2"/>
    <x v="2"/>
    <x v="2"/>
    <x v="2"/>
  </r>
  <r>
    <x v="183"/>
    <x v="2"/>
    <x v="2"/>
    <x v="2"/>
    <x v="2"/>
    <x v="2"/>
  </r>
  <r>
    <x v="184"/>
    <x v="2"/>
    <x v="2"/>
    <x v="2"/>
    <x v="2"/>
    <x v="2"/>
  </r>
  <r>
    <x v="185"/>
    <x v="0"/>
    <x v="0"/>
    <x v="0"/>
    <x v="0"/>
    <x v="0"/>
  </r>
  <r>
    <x v="186"/>
    <x v="0"/>
    <x v="0"/>
    <x v="0"/>
    <x v="0"/>
    <x v="0"/>
  </r>
  <r>
    <x v="187"/>
    <x v="2"/>
    <x v="2"/>
    <x v="2"/>
    <x v="2"/>
    <x v="2"/>
  </r>
  <r>
    <x v="188"/>
    <x v="2"/>
    <x v="2"/>
    <x v="2"/>
    <x v="2"/>
    <x v="2"/>
  </r>
  <r>
    <x v="189"/>
    <x v="2"/>
    <x v="2"/>
    <x v="2"/>
    <x v="2"/>
    <x v="2"/>
  </r>
  <r>
    <x v="190"/>
    <x v="2"/>
    <x v="2"/>
    <x v="2"/>
    <x v="2"/>
    <x v="2"/>
  </r>
  <r>
    <x v="191"/>
    <x v="2"/>
    <x v="2"/>
    <x v="2"/>
    <x v="2"/>
    <x v="2"/>
  </r>
  <r>
    <x v="192"/>
    <x v="2"/>
    <x v="2"/>
    <x v="2"/>
    <x v="2"/>
    <x v="2"/>
  </r>
  <r>
    <x v="193"/>
    <x v="0"/>
    <x v="0"/>
    <x v="0"/>
    <x v="0"/>
    <x v="0"/>
  </r>
  <r>
    <x v="194"/>
    <x v="1"/>
    <x v="1"/>
    <x v="1"/>
    <x v="1"/>
    <x v="1"/>
  </r>
  <r>
    <x v="195"/>
    <x v="1"/>
    <x v="1"/>
    <x v="1"/>
    <x v="1"/>
    <x v="1"/>
  </r>
  <r>
    <x v="196"/>
    <x v="0"/>
    <x v="0"/>
    <x v="0"/>
    <x v="0"/>
    <x v="0"/>
  </r>
  <r>
    <x v="197"/>
    <x v="2"/>
    <x v="2"/>
    <x v="2"/>
    <x v="2"/>
    <x v="2"/>
  </r>
  <r>
    <x v="198"/>
    <x v="0"/>
    <x v="0"/>
    <x v="0"/>
    <x v="0"/>
    <x v="0"/>
  </r>
  <r>
    <x v="199"/>
    <x v="2"/>
    <x v="2"/>
    <x v="2"/>
    <x v="2"/>
    <x v="2"/>
  </r>
  <r>
    <x v="200"/>
    <x v="2"/>
    <x v="2"/>
    <x v="2"/>
    <x v="2"/>
    <x v="2"/>
  </r>
  <r>
    <x v="201"/>
    <x v="1"/>
    <x v="1"/>
    <x v="1"/>
    <x v="1"/>
    <x v="1"/>
  </r>
  <r>
    <x v="202"/>
    <x v="2"/>
    <x v="2"/>
    <x v="2"/>
    <x v="2"/>
    <x v="2"/>
  </r>
  <r>
    <x v="203"/>
    <x v="2"/>
    <x v="2"/>
    <x v="2"/>
    <x v="2"/>
    <x v="2"/>
  </r>
  <r>
    <x v="204"/>
    <x v="2"/>
    <x v="2"/>
    <x v="2"/>
    <x v="2"/>
    <x v="2"/>
  </r>
  <r>
    <x v="205"/>
    <x v="2"/>
    <x v="2"/>
    <x v="2"/>
    <x v="2"/>
    <x v="2"/>
  </r>
  <r>
    <x v="206"/>
    <x v="10"/>
    <x v="10"/>
    <x v="10"/>
    <x v="10"/>
    <x v="10"/>
  </r>
  <r>
    <x v="207"/>
    <x v="2"/>
    <x v="2"/>
    <x v="2"/>
    <x v="2"/>
    <x v="2"/>
  </r>
  <r>
    <x v="208"/>
    <x v="1"/>
    <x v="1"/>
    <x v="1"/>
    <x v="1"/>
    <x v="1"/>
  </r>
  <r>
    <x v="209"/>
    <x v="2"/>
    <x v="2"/>
    <x v="2"/>
    <x v="2"/>
    <x v="2"/>
  </r>
  <r>
    <x v="210"/>
    <x v="0"/>
    <x v="0"/>
    <x v="0"/>
    <x v="0"/>
    <x v="0"/>
  </r>
  <r>
    <x v="211"/>
    <x v="2"/>
    <x v="2"/>
    <x v="2"/>
    <x v="2"/>
    <x v="2"/>
  </r>
  <r>
    <x v="212"/>
    <x v="2"/>
    <x v="2"/>
    <x v="2"/>
    <x v="2"/>
    <x v="2"/>
  </r>
  <r>
    <x v="213"/>
    <x v="0"/>
    <x v="0"/>
    <x v="0"/>
    <x v="0"/>
    <x v="0"/>
  </r>
  <r>
    <x v="214"/>
    <x v="2"/>
    <x v="2"/>
    <x v="2"/>
    <x v="2"/>
    <x v="2"/>
  </r>
  <r>
    <x v="215"/>
    <x v="0"/>
    <x v="0"/>
    <x v="0"/>
    <x v="0"/>
    <x v="0"/>
  </r>
  <r>
    <x v="216"/>
    <x v="2"/>
    <x v="2"/>
    <x v="2"/>
    <x v="2"/>
    <x v="2"/>
  </r>
  <r>
    <x v="217"/>
    <x v="2"/>
    <x v="2"/>
    <x v="2"/>
    <x v="2"/>
    <x v="2"/>
  </r>
  <r>
    <x v="218"/>
    <x v="0"/>
    <x v="0"/>
    <x v="0"/>
    <x v="0"/>
    <x v="0"/>
  </r>
  <r>
    <x v="219"/>
    <x v="0"/>
    <x v="0"/>
    <x v="0"/>
    <x v="0"/>
    <x v="0"/>
  </r>
  <r>
    <x v="220"/>
    <x v="2"/>
    <x v="2"/>
    <x v="2"/>
    <x v="2"/>
    <x v="2"/>
  </r>
  <r>
    <x v="221"/>
    <x v="2"/>
    <x v="2"/>
    <x v="2"/>
    <x v="2"/>
    <x v="2"/>
  </r>
  <r>
    <x v="9"/>
    <x v="0"/>
    <x v="0"/>
    <x v="0"/>
    <x v="0"/>
    <x v="0"/>
  </r>
  <r>
    <x v="222"/>
    <x v="2"/>
    <x v="2"/>
    <x v="2"/>
    <x v="2"/>
    <x v="2"/>
  </r>
  <r>
    <x v="223"/>
    <x v="2"/>
    <x v="2"/>
    <x v="2"/>
    <x v="2"/>
    <x v="2"/>
  </r>
  <r>
    <x v="224"/>
    <x v="2"/>
    <x v="2"/>
    <x v="2"/>
    <x v="2"/>
    <x v="2"/>
  </r>
  <r>
    <x v="225"/>
    <x v="4"/>
    <x v="4"/>
    <x v="4"/>
    <x v="4"/>
    <x v="4"/>
  </r>
  <r>
    <x v="226"/>
    <x v="2"/>
    <x v="2"/>
    <x v="2"/>
    <x v="2"/>
    <x v="2"/>
  </r>
  <r>
    <x v="227"/>
    <x v="1"/>
    <x v="1"/>
    <x v="1"/>
    <x v="1"/>
    <x v="1"/>
  </r>
  <r>
    <x v="228"/>
    <x v="1"/>
    <x v="1"/>
    <x v="1"/>
    <x v="1"/>
    <x v="1"/>
  </r>
  <r>
    <x v="229"/>
    <x v="2"/>
    <x v="2"/>
    <x v="2"/>
    <x v="2"/>
    <x v="2"/>
  </r>
  <r>
    <x v="230"/>
    <x v="2"/>
    <x v="2"/>
    <x v="2"/>
    <x v="2"/>
    <x v="2"/>
  </r>
  <r>
    <x v="231"/>
    <x v="2"/>
    <x v="2"/>
    <x v="2"/>
    <x v="2"/>
    <x v="2"/>
  </r>
  <r>
    <x v="232"/>
    <x v="1"/>
    <x v="1"/>
    <x v="1"/>
    <x v="1"/>
    <x v="1"/>
  </r>
  <r>
    <x v="233"/>
    <x v="2"/>
    <x v="2"/>
    <x v="2"/>
    <x v="2"/>
    <x v="2"/>
  </r>
  <r>
    <x v="234"/>
    <x v="1"/>
    <x v="1"/>
    <x v="1"/>
    <x v="1"/>
    <x v="1"/>
  </r>
  <r>
    <x v="235"/>
    <x v="1"/>
    <x v="1"/>
    <x v="1"/>
    <x v="1"/>
    <x v="1"/>
  </r>
  <r>
    <x v="236"/>
    <x v="1"/>
    <x v="1"/>
    <x v="1"/>
    <x v="1"/>
    <x v="1"/>
  </r>
  <r>
    <x v="237"/>
    <x v="1"/>
    <x v="1"/>
    <x v="1"/>
    <x v="1"/>
    <x v="1"/>
  </r>
  <r>
    <x v="238"/>
    <x v="2"/>
    <x v="2"/>
    <x v="2"/>
    <x v="2"/>
    <x v="2"/>
  </r>
  <r>
    <x v="239"/>
    <x v="2"/>
    <x v="2"/>
    <x v="2"/>
    <x v="2"/>
    <x v="2"/>
  </r>
  <r>
    <x v="240"/>
    <x v="2"/>
    <x v="2"/>
    <x v="2"/>
    <x v="2"/>
    <x v="2"/>
  </r>
  <r>
    <x v="241"/>
    <x v="0"/>
    <x v="0"/>
    <x v="0"/>
    <x v="0"/>
    <x v="0"/>
  </r>
  <r>
    <x v="242"/>
    <x v="2"/>
    <x v="2"/>
    <x v="2"/>
    <x v="2"/>
    <x v="2"/>
  </r>
  <r>
    <x v="243"/>
    <x v="2"/>
    <x v="2"/>
    <x v="2"/>
    <x v="2"/>
    <x v="2"/>
  </r>
  <r>
    <x v="244"/>
    <x v="1"/>
    <x v="1"/>
    <x v="1"/>
    <x v="1"/>
    <x v="1"/>
  </r>
  <r>
    <x v="245"/>
    <x v="0"/>
    <x v="0"/>
    <x v="0"/>
    <x v="0"/>
    <x v="0"/>
  </r>
  <r>
    <x v="246"/>
    <x v="0"/>
    <x v="0"/>
    <x v="0"/>
    <x v="0"/>
    <x v="0"/>
  </r>
  <r>
    <x v="247"/>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4884CB-23AD-44D3-8C8D-D7EFD919763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G1:H16" firstHeaderRow="1" firstDataRow="1" firstDataCol="1"/>
  <pivotFields count="2">
    <pivotField axis="axisRow" showAll="0">
      <items count="2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141"/>
        <item t="default"/>
      </items>
    </pivotField>
    <pivotField dataField="1" showAll="0">
      <items count="51">
        <item h="1" x="0"/>
        <item x="11"/>
        <item x="5"/>
        <item x="4"/>
        <item h="1" x="40"/>
        <item x="1"/>
        <item h="1" x="8"/>
        <item h="1" x="6"/>
        <item h="1" x="7"/>
        <item h="1" x="14"/>
        <item h="1" x="13"/>
        <item h="1" x="12"/>
        <item h="1" x="10"/>
        <item h="1" x="9"/>
        <item h="1" x="46"/>
        <item h="1" x="3"/>
        <item h="1" x="17"/>
        <item h="1" x="2"/>
        <item h="1" x="16"/>
        <item h="1" x="15"/>
        <item h="1" x="35"/>
        <item h="1" x="37"/>
        <item h="1" x="28"/>
        <item h="1" x="26"/>
        <item h="1" x="48"/>
        <item h="1" x="45"/>
        <item h="1" x="34"/>
        <item h="1" x="18"/>
        <item h="1" x="49"/>
        <item h="1" x="20"/>
        <item h="1" x="25"/>
        <item h="1" x="19"/>
        <item h="1" x="42"/>
        <item h="1" x="29"/>
        <item h="1" x="36"/>
        <item h="1" x="39"/>
        <item h="1" x="30"/>
        <item h="1" x="43"/>
        <item h="1" x="47"/>
        <item h="1" x="31"/>
        <item h="1" x="21"/>
        <item h="1" x="27"/>
        <item h="1" x="24"/>
        <item h="1" x="38"/>
        <item h="1" x="33"/>
        <item h="1" x="23"/>
        <item h="1" x="41"/>
        <item h="1" x="22"/>
        <item h="1" x="32"/>
        <item h="1" x="44"/>
        <item t="default"/>
      </items>
    </pivotField>
  </pivotFields>
  <rowFields count="1">
    <field x="0"/>
  </rowFields>
  <rowItems count="15">
    <i>
      <x v="1"/>
    </i>
    <i>
      <x v="4"/>
    </i>
    <i>
      <x v="6"/>
    </i>
    <i>
      <x v="7"/>
    </i>
    <i>
      <x v="10"/>
    </i>
    <i>
      <x v="12"/>
    </i>
    <i>
      <x v="16"/>
    </i>
    <i>
      <x v="24"/>
    </i>
    <i>
      <x v="34"/>
    </i>
    <i>
      <x v="62"/>
    </i>
    <i>
      <x v="75"/>
    </i>
    <i>
      <x v="140"/>
    </i>
    <i>
      <x v="167"/>
    </i>
    <i>
      <x v="175"/>
    </i>
    <i t="grand">
      <x/>
    </i>
  </rowItems>
  <colItems count="1">
    <i/>
  </colItems>
  <dataFields count="1">
    <dataField name="Sum of # Bikes" fld="1" baseField="0" baseItem="0"/>
  </dataFields>
  <chartFormats count="3">
    <chartFormat chart="0"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63D7A0E-77DD-404F-A436-62762BFF30DC}" name="PivotTable3"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F7" firstHeaderRow="0" firstDataRow="1" firstDataCol="1"/>
  <pivotFields count="6">
    <pivotField axis="axisRow" showAll="0" sortType="ascending">
      <items count="249">
        <item x="152"/>
        <item x="91"/>
        <item x="89"/>
        <item x="170"/>
        <item x="36"/>
        <item x="218"/>
        <item x="126"/>
        <item x="174"/>
        <item x="118"/>
        <item x="157"/>
        <item x="59"/>
        <item x="115"/>
        <item x="47"/>
        <item x="58"/>
        <item x="105"/>
        <item x="138"/>
        <item x="206"/>
        <item x="235"/>
        <item x="19"/>
        <item x="129"/>
        <item x="220"/>
        <item x="121"/>
        <item x="31"/>
        <item x="84"/>
        <item x="38"/>
        <item x="45"/>
        <item x="199"/>
        <item x="69"/>
        <item x="247"/>
        <item x="160"/>
        <item x="167"/>
        <item x="221"/>
        <item x="162"/>
        <item x="188"/>
        <item x="211"/>
        <item x="109"/>
        <item x="55"/>
        <item x="8"/>
        <item x="49"/>
        <item x="44"/>
        <item x="164"/>
        <item x="181"/>
        <item x="116"/>
        <item x="228"/>
        <item x="90"/>
        <item x="173"/>
        <item x="202"/>
        <item x="60"/>
        <item x="168"/>
        <item x="12"/>
        <item x="142"/>
        <item x="128"/>
        <item x="25"/>
        <item x="63"/>
        <item x="56"/>
        <item x="185"/>
        <item x="14"/>
        <item x="76"/>
        <item x="209"/>
        <item x="65"/>
        <item x="132"/>
        <item x="97"/>
        <item x="111"/>
        <item x="198"/>
        <item x="219"/>
        <item x="11"/>
        <item x="112"/>
        <item x="194"/>
        <item x="226"/>
        <item x="99"/>
        <item x="172"/>
        <item x="86"/>
        <item x="26"/>
        <item x="238"/>
        <item x="82"/>
        <item x="110"/>
        <item x="88"/>
        <item x="190"/>
        <item x="231"/>
        <item x="150"/>
        <item x="107"/>
        <item x="195"/>
        <item x="29"/>
        <item x="41"/>
        <item x="81"/>
        <item x="83"/>
        <item x="179"/>
        <item x="95"/>
        <item x="22"/>
        <item x="141"/>
        <item x="210"/>
        <item x="66"/>
        <item x="151"/>
        <item x="197"/>
        <item x="134"/>
        <item x="147"/>
        <item x="241"/>
        <item x="224"/>
        <item x="161"/>
        <item x="79"/>
        <item x="103"/>
        <item x="225"/>
        <item x="176"/>
        <item x="120"/>
        <item x="92"/>
        <item x="192"/>
        <item x="166"/>
        <item x="5"/>
        <item x="43"/>
        <item x="154"/>
        <item x="201"/>
        <item x="123"/>
        <item x="212"/>
        <item x="17"/>
        <item x="245"/>
        <item x="80"/>
        <item x="204"/>
        <item x="67"/>
        <item x="144"/>
        <item x="139"/>
        <item x="214"/>
        <item x="193"/>
        <item x="101"/>
        <item x="106"/>
        <item x="229"/>
        <item x="135"/>
        <item x="200"/>
        <item x="21"/>
        <item x="62"/>
        <item x="28"/>
        <item x="182"/>
        <item x="149"/>
        <item x="187"/>
        <item x="136"/>
        <item x="13"/>
        <item x="236"/>
        <item x="119"/>
        <item x="131"/>
        <item x="140"/>
        <item x="242"/>
        <item x="156"/>
        <item x="52"/>
        <item x="93"/>
        <item x="98"/>
        <item x="243"/>
        <item x="169"/>
        <item x="205"/>
        <item x="171"/>
        <item x="165"/>
        <item x="122"/>
        <item x="133"/>
        <item x="104"/>
        <item x="40"/>
        <item x="159"/>
        <item x="233"/>
        <item x="24"/>
        <item x="42"/>
        <item x="73"/>
        <item x="16"/>
        <item x="222"/>
        <item x="68"/>
        <item x="117"/>
        <item x="30"/>
        <item x="215"/>
        <item x="184"/>
        <item x="27"/>
        <item x="203"/>
        <item x="51"/>
        <item x="239"/>
        <item x="64"/>
        <item x="7"/>
        <item x="145"/>
        <item x="175"/>
        <item x="227"/>
        <item x="237"/>
        <item x="87"/>
        <item x="100"/>
        <item x="70"/>
        <item x="207"/>
        <item x="74"/>
        <item x="223"/>
        <item x="240"/>
        <item x="183"/>
        <item x="244"/>
        <item x="23"/>
        <item x="124"/>
        <item x="153"/>
        <item x="158"/>
        <item x="113"/>
        <item x="33"/>
        <item x="34"/>
        <item x="186"/>
        <item x="72"/>
        <item x="3"/>
        <item x="50"/>
        <item x="102"/>
        <item x="137"/>
        <item x="53"/>
        <item x="96"/>
        <item x="0"/>
        <item x="177"/>
        <item x="77"/>
        <item x="148"/>
        <item x="178"/>
        <item x="1"/>
        <item x="32"/>
        <item x="78"/>
        <item x="9"/>
        <item x="54"/>
        <item x="125"/>
        <item x="61"/>
        <item x="46"/>
        <item x="94"/>
        <item x="37"/>
        <item x="246"/>
        <item x="114"/>
        <item x="75"/>
        <item x="213"/>
        <item x="20"/>
        <item x="155"/>
        <item x="196"/>
        <item x="208"/>
        <item x="146"/>
        <item x="180"/>
        <item x="39"/>
        <item x="232"/>
        <item x="6"/>
        <item x="57"/>
        <item x="71"/>
        <item x="127"/>
        <item x="191"/>
        <item x="217"/>
        <item x="163"/>
        <item x="189"/>
        <item x="130"/>
        <item x="234"/>
        <item x="216"/>
        <item x="10"/>
        <item x="48"/>
        <item x="35"/>
        <item x="143"/>
        <item x="18"/>
        <item x="2"/>
        <item x="15"/>
        <item x="108"/>
        <item x="230"/>
        <item x="4"/>
        <item x="85"/>
        <item t="default"/>
      </items>
    </pivotField>
    <pivotField dataField="1" showAll="0">
      <items count="57">
        <item x="2"/>
        <item m="1" x="11"/>
        <item m="1" x="21"/>
        <item m="1" x="15"/>
        <item m="1" x="14"/>
        <item x="0"/>
        <item x="4"/>
        <item m="1" x="18"/>
        <item m="1" x="16"/>
        <item m="1" x="17"/>
        <item m="1" x="24"/>
        <item x="8"/>
        <item m="1" x="23"/>
        <item m="1" x="22"/>
        <item m="1" x="20"/>
        <item m="1" x="19"/>
        <item m="1" x="53"/>
        <item m="1" x="13"/>
        <item m="1" x="26"/>
        <item m="1" x="12"/>
        <item m="1" x="25"/>
        <item x="9"/>
        <item x="3"/>
        <item m="1" x="43"/>
        <item m="1" x="45"/>
        <item m="1" x="36"/>
        <item m="1" x="34"/>
        <item x="5"/>
        <item m="1" x="52"/>
        <item m="1" x="42"/>
        <item m="1" x="27"/>
        <item m="1" x="55"/>
        <item x="7"/>
        <item m="1" x="33"/>
        <item m="1" x="28"/>
        <item m="1" x="49"/>
        <item m="1" x="37"/>
        <item m="1" x="44"/>
        <item m="1" x="47"/>
        <item m="1" x="38"/>
        <item m="1" x="50"/>
        <item m="1" x="54"/>
        <item m="1" x="39"/>
        <item m="1" x="29"/>
        <item m="1" x="35"/>
        <item m="1" x="32"/>
        <item m="1" x="46"/>
        <item m="1" x="41"/>
        <item m="1" x="31"/>
        <item m="1" x="48"/>
        <item m="1" x="30"/>
        <item m="1" x="40"/>
        <item m="1" x="51"/>
        <item x="10"/>
        <item x="6"/>
        <item x="1"/>
        <item t="default"/>
      </items>
    </pivotField>
    <pivotField dataField="1" showAll="0">
      <items count="57">
        <item x="2"/>
        <item m="1" x="11"/>
        <item m="1" x="21"/>
        <item m="1" x="15"/>
        <item m="1" x="14"/>
        <item x="0"/>
        <item x="4"/>
        <item m="1" x="18"/>
        <item m="1" x="16"/>
        <item m="1" x="17"/>
        <item m="1" x="24"/>
        <item x="8"/>
        <item m="1" x="23"/>
        <item m="1" x="22"/>
        <item m="1" x="20"/>
        <item m="1" x="19"/>
        <item m="1" x="53"/>
        <item m="1" x="13"/>
        <item m="1" x="26"/>
        <item m="1" x="12"/>
        <item m="1" x="25"/>
        <item x="9"/>
        <item x="3"/>
        <item m="1" x="43"/>
        <item m="1" x="45"/>
        <item m="1" x="36"/>
        <item m="1" x="34"/>
        <item x="5"/>
        <item m="1" x="52"/>
        <item m="1" x="42"/>
        <item m="1" x="27"/>
        <item m="1" x="55"/>
        <item x="7"/>
        <item m="1" x="33"/>
        <item m="1" x="28"/>
        <item m="1" x="49"/>
        <item m="1" x="37"/>
        <item m="1" x="44"/>
        <item m="1" x="47"/>
        <item m="1" x="38"/>
        <item m="1" x="50"/>
        <item m="1" x="54"/>
        <item m="1" x="39"/>
        <item m="1" x="29"/>
        <item m="1" x="35"/>
        <item m="1" x="32"/>
        <item m="1" x="46"/>
        <item m="1" x="41"/>
        <item m="1" x="31"/>
        <item m="1" x="48"/>
        <item m="1" x="30"/>
        <item m="1" x="40"/>
        <item m="1" x="51"/>
        <item x="10"/>
        <item x="6"/>
        <item x="1"/>
        <item t="default"/>
      </items>
    </pivotField>
    <pivotField dataField="1" showAll="0">
      <items count="57">
        <item x="2"/>
        <item m="1" x="11"/>
        <item m="1" x="21"/>
        <item m="1" x="15"/>
        <item m="1" x="14"/>
        <item x="0"/>
        <item x="4"/>
        <item m="1" x="18"/>
        <item m="1" x="16"/>
        <item m="1" x="17"/>
        <item m="1" x="24"/>
        <item x="8"/>
        <item m="1" x="23"/>
        <item m="1" x="22"/>
        <item m="1" x="20"/>
        <item m="1" x="19"/>
        <item m="1" x="53"/>
        <item m="1" x="13"/>
        <item m="1" x="26"/>
        <item m="1" x="12"/>
        <item m="1" x="25"/>
        <item x="9"/>
        <item x="3"/>
        <item m="1" x="43"/>
        <item m="1" x="45"/>
        <item m="1" x="36"/>
        <item m="1" x="34"/>
        <item x="5"/>
        <item m="1" x="52"/>
        <item m="1" x="42"/>
        <item m="1" x="27"/>
        <item m="1" x="55"/>
        <item x="7"/>
        <item m="1" x="33"/>
        <item m="1" x="28"/>
        <item m="1" x="49"/>
        <item m="1" x="37"/>
        <item m="1" x="44"/>
        <item m="1" x="47"/>
        <item m="1" x="38"/>
        <item m="1" x="50"/>
        <item m="1" x="54"/>
        <item m="1" x="39"/>
        <item m="1" x="29"/>
        <item m="1" x="35"/>
        <item m="1" x="32"/>
        <item m="1" x="46"/>
        <item m="1" x="41"/>
        <item m="1" x="31"/>
        <item m="1" x="48"/>
        <item m="1" x="30"/>
        <item m="1" x="40"/>
        <item m="1" x="51"/>
        <item x="10"/>
        <item x="6"/>
        <item x="1"/>
        <item t="default"/>
      </items>
    </pivotField>
    <pivotField dataField="1" showAll="0">
      <items count="57">
        <item x="2"/>
        <item m="1" x="11"/>
        <item m="1" x="21"/>
        <item m="1" x="15"/>
        <item m="1" x="14"/>
        <item x="0"/>
        <item x="4"/>
        <item m="1" x="18"/>
        <item m="1" x="16"/>
        <item m="1" x="17"/>
        <item m="1" x="24"/>
        <item x="8"/>
        <item m="1" x="23"/>
        <item m="1" x="22"/>
        <item m="1" x="20"/>
        <item m="1" x="19"/>
        <item m="1" x="53"/>
        <item m="1" x="13"/>
        <item m="1" x="26"/>
        <item m="1" x="12"/>
        <item m="1" x="25"/>
        <item x="9"/>
        <item x="3"/>
        <item m="1" x="43"/>
        <item m="1" x="45"/>
        <item m="1" x="36"/>
        <item m="1" x="34"/>
        <item x="5"/>
        <item m="1" x="52"/>
        <item m="1" x="42"/>
        <item m="1" x="27"/>
        <item m="1" x="55"/>
        <item x="7"/>
        <item m="1" x="33"/>
        <item m="1" x="28"/>
        <item m="1" x="49"/>
        <item m="1" x="37"/>
        <item m="1" x="44"/>
        <item m="1" x="47"/>
        <item m="1" x="38"/>
        <item m="1" x="50"/>
        <item m="1" x="54"/>
        <item m="1" x="39"/>
        <item m="1" x="29"/>
        <item m="1" x="35"/>
        <item m="1" x="32"/>
        <item m="1" x="46"/>
        <item m="1" x="41"/>
        <item m="1" x="31"/>
        <item m="1" x="48"/>
        <item m="1" x="30"/>
        <item m="1" x="40"/>
        <item m="1" x="51"/>
        <item x="10"/>
        <item x="6"/>
        <item x="1"/>
        <item t="default"/>
      </items>
    </pivotField>
    <pivotField dataField="1" numFmtId="2" showAll="0">
      <items count="57">
        <item h="1" x="2"/>
        <item m="1" x="11"/>
        <item m="1" x="21"/>
        <item m="1" x="15"/>
        <item m="1" x="14"/>
        <item h="1" x="0"/>
        <item h="1" x="4"/>
        <item h="1" m="1" x="18"/>
        <item h="1" m="1" x="16"/>
        <item h="1" m="1" x="17"/>
        <item h="1" m="1" x="24"/>
        <item x="8"/>
        <item h="1" m="1" x="23"/>
        <item h="1" m="1" x="22"/>
        <item h="1" m="1" x="20"/>
        <item h="1" m="1" x="19"/>
        <item h="1" m="1" x="53"/>
        <item h="1" m="1" x="13"/>
        <item h="1" m="1" x="26"/>
        <item h="1" m="1" x="12"/>
        <item h="1" m="1" x="25"/>
        <item x="9"/>
        <item x="3"/>
        <item h="1" m="1" x="43"/>
        <item h="1" m="1" x="45"/>
        <item h="1" m="1" x="36"/>
        <item h="1" m="1" x="34"/>
        <item h="1" x="5"/>
        <item h="1" m="1" x="52"/>
        <item h="1" m="1" x="42"/>
        <item h="1" m="1" x="27"/>
        <item h="1" m="1" x="55"/>
        <item x="7"/>
        <item h="1" m="1" x="33"/>
        <item h="1" m="1" x="28"/>
        <item h="1" m="1" x="49"/>
        <item h="1" m="1" x="37"/>
        <item h="1" m="1" x="44"/>
        <item h="1" m="1" x="47"/>
        <item h="1" m="1" x="38"/>
        <item h="1" m="1" x="50"/>
        <item h="1" m="1" x="54"/>
        <item h="1" m="1" x="39"/>
        <item h="1" m="1" x="29"/>
        <item h="1" m="1" x="35"/>
        <item h="1" m="1" x="32"/>
        <item h="1" m="1" x="46"/>
        <item h="1" m="1" x="41"/>
        <item h="1" m="1" x="31"/>
        <item h="1" m="1" x="48"/>
        <item h="1" m="1" x="30"/>
        <item h="1" m="1" x="40"/>
        <item h="1" m="1" x="51"/>
        <item h="1" x="10"/>
        <item h="1" x="6"/>
        <item h="1" x="1"/>
        <item t="default"/>
      </items>
    </pivotField>
  </pivotFields>
  <rowFields count="1">
    <field x="0"/>
  </rowFields>
  <rowItems count="6">
    <i>
      <x v="84"/>
    </i>
    <i>
      <x v="152"/>
    </i>
    <i>
      <x v="169"/>
    </i>
    <i>
      <x v="196"/>
    </i>
    <i>
      <x v="215"/>
    </i>
    <i t="grand">
      <x/>
    </i>
  </rowItems>
  <colFields count="1">
    <field x="-2"/>
  </colFields>
  <colItems count="5">
    <i>
      <x/>
    </i>
    <i i="1">
      <x v="1"/>
    </i>
    <i i="2">
      <x v="2"/>
    </i>
    <i i="3">
      <x v="3"/>
    </i>
    <i i="4">
      <x v="4"/>
    </i>
  </colItems>
  <dataFields count="5">
    <dataField name="Sum of Weekly Maintenance" fld="1" baseField="0" baseItem="0"/>
    <dataField name="Sum of Monthly Maintenance" fld="2" baseField="0" baseItem="0"/>
    <dataField name="Sum of Biannual Maintenance" fld="3" baseField="0" baseItem="0"/>
    <dataField name="Sum of Annual Maintenance" fld="4" baseField="0" baseItem="0"/>
    <dataField name="Sum of Total Maintenance Time" fld="5" baseField="0" baseItem="0" numFmtId="2"/>
  </dataFields>
  <formats count="2">
    <format dxfId="39">
      <pivotArea field="0" type="button" dataOnly="0" labelOnly="1" outline="0" axis="axisRow" fieldPosition="0"/>
    </format>
    <format dxfId="38">
      <pivotArea dataOnly="0" labelOnly="1" outline="0" fieldPosition="0">
        <references count="1">
          <reference field="4294967294" count="5">
            <x v="0"/>
            <x v="1"/>
            <x v="2"/>
            <x v="3"/>
            <x v="4"/>
          </reference>
        </references>
      </pivotArea>
    </format>
  </format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3" format="10" series="1">
      <pivotArea type="data" outline="0" fieldPosition="0">
        <references count="1">
          <reference field="4294967294" count="1" selected="0">
            <x v="0"/>
          </reference>
        </references>
      </pivotArea>
    </chartFormat>
    <chartFormat chart="3" format="11" series="1">
      <pivotArea type="data" outline="0" fieldPosition="0">
        <references count="1">
          <reference field="4294967294" count="1" selected="0">
            <x v="1"/>
          </reference>
        </references>
      </pivotArea>
    </chartFormat>
    <chartFormat chart="3" format="12" series="1">
      <pivotArea type="data" outline="0" fieldPosition="0">
        <references count="1">
          <reference field="4294967294" count="1" selected="0">
            <x v="2"/>
          </reference>
        </references>
      </pivotArea>
    </chartFormat>
    <chartFormat chart="3" format="13" series="1">
      <pivotArea type="data" outline="0" fieldPosition="0">
        <references count="1">
          <reference field="4294967294" count="1" selected="0">
            <x v="3"/>
          </reference>
        </references>
      </pivotArea>
    </chartFormat>
    <chartFormat chart="3" format="1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ion_Name" xr10:uid="{9A93CC98-C743-4756-A371-7FF7C2C8A596}" sourceName="Station Name">
  <pivotTables>
    <pivotTable tabId="1" name="PivotTable1"/>
  </pivotTables>
  <data>
    <tabular pivotCacheId="240345598">
      <items count="248">
        <i x="168" s="1"/>
        <i x="12" s="1"/>
        <i x="176" s="1"/>
        <i x="62" s="1"/>
        <i x="140" s="1"/>
        <i x="24" s="1"/>
        <i x="16" s="1"/>
        <i x="7" s="1"/>
        <i x="34" s="1"/>
        <i x="1" s="1"/>
        <i x="75" s="1"/>
        <i x="6" s="1"/>
        <i x="10" s="1"/>
        <i x="4" s="1"/>
        <i x="152" s="1" nd="1"/>
        <i x="91" s="1" nd="1"/>
        <i x="89" s="1" nd="1"/>
        <i x="170" s="1" nd="1"/>
        <i x="36" s="1" nd="1"/>
        <i x="218" s="1" nd="1"/>
        <i x="126" s="1" nd="1"/>
        <i x="174" s="1" nd="1"/>
        <i x="118" s="1" nd="1"/>
        <i x="157" s="1" nd="1"/>
        <i x="59" s="1" nd="1"/>
        <i x="115" s="1" nd="1"/>
        <i x="47" s="1" nd="1"/>
        <i x="58" s="1" nd="1"/>
        <i x="105" s="1" nd="1"/>
        <i x="138" s="1" nd="1"/>
        <i x="206" s="1" nd="1"/>
        <i x="235" s="1" nd="1"/>
        <i x="19" s="1" nd="1"/>
        <i x="129" s="1" nd="1"/>
        <i x="220" s="1" nd="1"/>
        <i x="121" s="1" nd="1"/>
        <i x="31" s="1" nd="1"/>
        <i x="84" s="1" nd="1"/>
        <i x="38" s="1" nd="1"/>
        <i x="45" s="1" nd="1"/>
        <i x="199" s="1" nd="1"/>
        <i x="69" s="1" nd="1"/>
        <i x="247" s="1" nd="1"/>
        <i x="160" s="1" nd="1"/>
        <i x="167" s="1" nd="1"/>
        <i x="221" s="1" nd="1"/>
        <i x="162" s="1" nd="1"/>
        <i x="188" s="1" nd="1"/>
        <i x="211" s="1" nd="1"/>
        <i x="109" s="1" nd="1"/>
        <i x="55" s="1" nd="1"/>
        <i x="8" s="1" nd="1"/>
        <i x="49" s="1" nd="1"/>
        <i x="44" s="1" nd="1"/>
        <i x="164" s="1" nd="1"/>
        <i x="181" s="1" nd="1"/>
        <i x="116" s="1" nd="1"/>
        <i x="228" s="1" nd="1"/>
        <i x="90" s="1" nd="1"/>
        <i x="173" s="1" nd="1"/>
        <i x="202" s="1" nd="1"/>
        <i x="60" s="1" nd="1"/>
        <i x="142" s="1" nd="1"/>
        <i x="128" s="1" nd="1"/>
        <i x="25" s="1" nd="1"/>
        <i x="63" s="1" nd="1"/>
        <i x="56" s="1" nd="1"/>
        <i x="185" s="1" nd="1"/>
        <i x="14" s="1" nd="1"/>
        <i x="76" s="1" nd="1"/>
        <i x="209" s="1" nd="1"/>
        <i x="65" s="1" nd="1"/>
        <i x="132" s="1" nd="1"/>
        <i x="97" s="1" nd="1"/>
        <i x="111" s="1" nd="1"/>
        <i x="198" s="1" nd="1"/>
        <i x="219" s="1" nd="1"/>
        <i x="11" s="1" nd="1"/>
        <i x="112" s="1" nd="1"/>
        <i x="194" s="1" nd="1"/>
        <i x="226" s="1" nd="1"/>
        <i x="99" s="1" nd="1"/>
        <i x="172" s="1" nd="1"/>
        <i x="86" s="1" nd="1"/>
        <i x="26" s="1" nd="1"/>
        <i x="238" s="1" nd="1"/>
        <i x="82" s="1" nd="1"/>
        <i x="110" s="1" nd="1"/>
        <i x="88" s="1" nd="1"/>
        <i x="190" s="1" nd="1"/>
        <i x="231" s="1" nd="1"/>
        <i x="150" s="1" nd="1"/>
        <i x="107" s="1" nd="1"/>
        <i x="195" s="1" nd="1"/>
        <i x="29" s="1" nd="1"/>
        <i x="41" s="1" nd="1"/>
        <i x="81" s="1" nd="1"/>
        <i x="83" s="1" nd="1"/>
        <i x="179" s="1" nd="1"/>
        <i x="95" s="1" nd="1"/>
        <i x="22" s="1" nd="1"/>
        <i x="141" s="1" nd="1"/>
        <i x="210" s="1" nd="1"/>
        <i x="66" s="1" nd="1"/>
        <i x="151" s="1" nd="1"/>
        <i x="197" s="1" nd="1"/>
        <i x="134" s="1" nd="1"/>
        <i x="147" s="1" nd="1"/>
        <i x="241" s="1" nd="1"/>
        <i x="224" s="1" nd="1"/>
        <i x="161" s="1" nd="1"/>
        <i x="79" s="1" nd="1"/>
        <i x="103" s="1" nd="1"/>
        <i x="225" s="1" nd="1"/>
        <i x="120" s="1" nd="1"/>
        <i x="92" s="1" nd="1"/>
        <i x="192" s="1" nd="1"/>
        <i x="166" s="1" nd="1"/>
        <i x="5" s="1" nd="1"/>
        <i x="43" s="1" nd="1"/>
        <i x="154" s="1" nd="1"/>
        <i x="201" s="1" nd="1"/>
        <i x="123" s="1" nd="1"/>
        <i x="212" s="1" nd="1"/>
        <i x="17" s="1" nd="1"/>
        <i x="245" s="1" nd="1"/>
        <i x="80" s="1" nd="1"/>
        <i x="204" s="1" nd="1"/>
        <i x="67" s="1" nd="1"/>
        <i x="144" s="1" nd="1"/>
        <i x="139" s="1" nd="1"/>
        <i x="214" s="1" nd="1"/>
        <i x="193" s="1" nd="1"/>
        <i x="101" s="1" nd="1"/>
        <i x="106" s="1" nd="1"/>
        <i x="229" s="1" nd="1"/>
        <i x="135" s="1" nd="1"/>
        <i x="200" s="1" nd="1"/>
        <i x="21" s="1" nd="1"/>
        <i x="28" s="1" nd="1"/>
        <i x="182" s="1" nd="1"/>
        <i x="149" s="1" nd="1"/>
        <i x="187" s="1" nd="1"/>
        <i x="136" s="1" nd="1"/>
        <i x="13" s="1" nd="1"/>
        <i x="236" s="1" nd="1"/>
        <i x="119" s="1" nd="1"/>
        <i x="131" s="1" nd="1"/>
        <i x="242" s="1" nd="1"/>
        <i x="156" s="1" nd="1"/>
        <i x="52" s="1" nd="1"/>
        <i x="93" s="1" nd="1"/>
        <i x="98" s="1" nd="1"/>
        <i x="243" s="1" nd="1"/>
        <i x="169" s="1" nd="1"/>
        <i x="205" s="1" nd="1"/>
        <i x="171" s="1" nd="1"/>
        <i x="165" s="1" nd="1"/>
        <i x="122" s="1" nd="1"/>
        <i x="133" s="1" nd="1"/>
        <i x="104" s="1" nd="1"/>
        <i x="40" s="1" nd="1"/>
        <i x="159" s="1" nd="1"/>
        <i x="233" s="1" nd="1"/>
        <i x="42" s="1" nd="1"/>
        <i x="73" s="1" nd="1"/>
        <i x="222" s="1" nd="1"/>
        <i x="68" s="1" nd="1"/>
        <i x="117" s="1" nd="1"/>
        <i x="30" s="1" nd="1"/>
        <i x="215" s="1" nd="1"/>
        <i x="184" s="1" nd="1"/>
        <i x="27" s="1" nd="1"/>
        <i x="203" s="1" nd="1"/>
        <i x="51" s="1" nd="1"/>
        <i x="239" s="1" nd="1"/>
        <i x="64" s="1" nd="1"/>
        <i x="145" s="1" nd="1"/>
        <i x="175" s="1" nd="1"/>
        <i x="227" s="1" nd="1"/>
        <i x="237" s="1" nd="1"/>
        <i x="87" s="1" nd="1"/>
        <i x="100" s="1" nd="1"/>
        <i x="70" s="1" nd="1"/>
        <i x="207" s="1" nd="1"/>
        <i x="74" s="1" nd="1"/>
        <i x="223" s="1" nd="1"/>
        <i x="240" s="1" nd="1"/>
        <i x="183" s="1" nd="1"/>
        <i x="244" s="1" nd="1"/>
        <i x="23" s="1" nd="1"/>
        <i x="124" s="1" nd="1"/>
        <i x="153" s="1" nd="1"/>
        <i x="158" s="1" nd="1"/>
        <i x="113" s="1" nd="1"/>
        <i x="33" s="1" nd="1"/>
        <i x="186" s="1" nd="1"/>
        <i x="72" s="1" nd="1"/>
        <i x="3" s="1" nd="1"/>
        <i x="50" s="1" nd="1"/>
        <i x="102" s="1" nd="1"/>
        <i x="137" s="1" nd="1"/>
        <i x="53" s="1" nd="1"/>
        <i x="96" s="1" nd="1"/>
        <i x="0" s="1" nd="1"/>
        <i x="177" s="1" nd="1"/>
        <i x="77" s="1" nd="1"/>
        <i x="148" s="1" nd="1"/>
        <i x="178" s="1" nd="1"/>
        <i x="32" s="1" nd="1"/>
        <i x="78" s="1" nd="1"/>
        <i x="9" s="1" nd="1"/>
        <i x="54" s="1" nd="1"/>
        <i x="125" s="1" nd="1"/>
        <i x="61" s="1" nd="1"/>
        <i x="46" s="1" nd="1"/>
        <i x="94" s="1" nd="1"/>
        <i x="37" s="1" nd="1"/>
        <i x="246" s="1" nd="1"/>
        <i x="114" s="1" nd="1"/>
        <i x="213" s="1" nd="1"/>
        <i x="20" s="1" nd="1"/>
        <i x="155" s="1" nd="1"/>
        <i x="196" s="1" nd="1"/>
        <i x="208" s="1" nd="1"/>
        <i x="146" s="1" nd="1"/>
        <i x="180" s="1" nd="1"/>
        <i x="39" s="1" nd="1"/>
        <i x="232" s="1" nd="1"/>
        <i x="57" s="1" nd="1"/>
        <i x="71" s="1" nd="1"/>
        <i x="127" s="1" nd="1"/>
        <i x="191" s="1" nd="1"/>
        <i x="217" s="1" nd="1"/>
        <i x="163" s="1" nd="1"/>
        <i x="189" s="1" nd="1"/>
        <i x="130" s="1" nd="1"/>
        <i x="234" s="1" nd="1"/>
        <i x="216" s="1" nd="1"/>
        <i x="48" s="1" nd="1"/>
        <i x="35" s="1" nd="1"/>
        <i x="143" s="1" nd="1"/>
        <i x="18" s="1" nd="1"/>
        <i x="2" s="1" nd="1"/>
        <i x="15" s="1" nd="1"/>
        <i x="108" s="1" nd="1"/>
        <i x="230" s="1" nd="1"/>
        <i x="8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_Bikes" xr10:uid="{E0F86DB0-3650-493B-A948-86F751BBD6D0}" sourceName="# Bikes">
  <pivotTables>
    <pivotTable tabId="1" name="PivotTable1"/>
  </pivotTables>
  <data>
    <tabular pivotCacheId="240345598">
      <items count="50">
        <i x="0"/>
        <i x="11" s="1"/>
        <i x="5" s="1"/>
        <i x="4" s="1"/>
        <i x="40"/>
        <i x="1" s="1"/>
        <i x="8"/>
        <i x="6"/>
        <i x="7"/>
        <i x="14"/>
        <i x="13"/>
        <i x="12"/>
        <i x="10"/>
        <i x="9"/>
        <i x="46"/>
        <i x="3"/>
        <i x="17"/>
        <i x="2"/>
        <i x="16"/>
        <i x="15"/>
        <i x="35"/>
        <i x="37"/>
        <i x="28"/>
        <i x="26"/>
        <i x="48"/>
        <i x="45"/>
        <i x="34"/>
        <i x="18"/>
        <i x="49"/>
        <i x="20"/>
        <i x="25"/>
        <i x="19"/>
        <i x="42"/>
        <i x="29"/>
        <i x="36"/>
        <i x="39"/>
        <i x="30"/>
        <i x="43"/>
        <i x="47"/>
        <i x="31"/>
        <i x="21"/>
        <i x="27"/>
        <i x="24"/>
        <i x="38"/>
        <i x="33"/>
        <i x="23"/>
        <i x="41"/>
        <i x="22"/>
        <i x="32"/>
        <i x="44"/>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ion_Name1" xr10:uid="{3A03DE33-68AD-4364-B93E-499D60959CDB}" sourceName="Station Name">
  <pivotTables>
    <pivotTable tabId="6" name="PivotTable3"/>
  </pivotTables>
  <data>
    <tabular pivotCacheId="830614514">
      <items count="248">
        <i x="81" s="1"/>
        <i x="40" s="1"/>
        <i x="64" s="1"/>
        <i x="137" s="1"/>
        <i x="114" s="1"/>
        <i x="152" s="1" nd="1"/>
        <i x="91" s="1" nd="1"/>
        <i x="89" s="1" nd="1"/>
        <i x="170" s="1" nd="1"/>
        <i x="36" s="1" nd="1"/>
        <i x="218" s="1" nd="1"/>
        <i x="126" s="1" nd="1"/>
        <i x="174" s="1" nd="1"/>
        <i x="118" s="1" nd="1"/>
        <i x="157" s="1" nd="1"/>
        <i x="59" s="1" nd="1"/>
        <i x="115" s="1" nd="1"/>
        <i x="47" s="1" nd="1"/>
        <i x="58" s="1" nd="1"/>
        <i x="105" s="1" nd="1"/>
        <i x="138" s="1" nd="1"/>
        <i x="206" s="1" nd="1"/>
        <i x="235" s="1" nd="1"/>
        <i x="19" s="1" nd="1"/>
        <i x="129" s="1" nd="1"/>
        <i x="220" s="1" nd="1"/>
        <i x="121" s="1" nd="1"/>
        <i x="31" s="1" nd="1"/>
        <i x="84" s="1" nd="1"/>
        <i x="38" s="1" nd="1"/>
        <i x="45" s="1" nd="1"/>
        <i x="199" s="1" nd="1"/>
        <i x="69" s="1" nd="1"/>
        <i x="247" s="1" nd="1"/>
        <i x="160" s="1" nd="1"/>
        <i x="167" s="1" nd="1"/>
        <i x="221" s="1" nd="1"/>
        <i x="162" s="1" nd="1"/>
        <i x="188" s="1" nd="1"/>
        <i x="211" s="1" nd="1"/>
        <i x="109" s="1" nd="1"/>
        <i x="55" s="1" nd="1"/>
        <i x="8" s="1" nd="1"/>
        <i x="49" s="1" nd="1"/>
        <i x="44" s="1" nd="1"/>
        <i x="164" s="1" nd="1"/>
        <i x="181" s="1" nd="1"/>
        <i x="116" s="1" nd="1"/>
        <i x="228" s="1" nd="1"/>
        <i x="90" s="1" nd="1"/>
        <i x="173" s="1" nd="1"/>
        <i x="202" s="1" nd="1"/>
        <i x="60" s="1" nd="1"/>
        <i x="168" s="1" nd="1"/>
        <i x="12" s="1" nd="1"/>
        <i x="142" s="1" nd="1"/>
        <i x="128" s="1" nd="1"/>
        <i x="25" s="1" nd="1"/>
        <i x="63" s="1" nd="1"/>
        <i x="56" s="1" nd="1"/>
        <i x="185" s="1" nd="1"/>
        <i x="14" s="1" nd="1"/>
        <i x="76" s="1" nd="1"/>
        <i x="209" s="1" nd="1"/>
        <i x="65" s="1" nd="1"/>
        <i x="132" s="1" nd="1"/>
        <i x="97" s="1" nd="1"/>
        <i x="111" s="1" nd="1"/>
        <i x="198" s="1" nd="1"/>
        <i x="219" s="1" nd="1"/>
        <i x="11" s="1" nd="1"/>
        <i x="112" s="1" nd="1"/>
        <i x="194" s="1" nd="1"/>
        <i x="226" s="1" nd="1"/>
        <i x="99" s="1" nd="1"/>
        <i x="172" s="1" nd="1"/>
        <i x="86" s="1" nd="1"/>
        <i x="26" s="1" nd="1"/>
        <i x="238" s="1" nd="1"/>
        <i x="82" s="1" nd="1"/>
        <i x="110" s="1" nd="1"/>
        <i x="88" s="1" nd="1"/>
        <i x="190" s="1" nd="1"/>
        <i x="231" s="1" nd="1"/>
        <i x="150" s="1" nd="1"/>
        <i x="107" s="1" nd="1"/>
        <i x="195" s="1" nd="1"/>
        <i x="29" s="1" nd="1"/>
        <i x="41" s="1" nd="1"/>
        <i x="83" s="1" nd="1"/>
        <i x="179" s="1" nd="1"/>
        <i x="95" s="1" nd="1"/>
        <i x="22" s="1" nd="1"/>
        <i x="141" s="1" nd="1"/>
        <i x="210" s="1" nd="1"/>
        <i x="66" s="1" nd="1"/>
        <i x="151" s="1" nd="1"/>
        <i x="197" s="1" nd="1"/>
        <i x="134" s="1" nd="1"/>
        <i x="147" s="1" nd="1"/>
        <i x="241" s="1" nd="1"/>
        <i x="224" s="1" nd="1"/>
        <i x="161" s="1" nd="1"/>
        <i x="79" s="1" nd="1"/>
        <i x="103" s="1" nd="1"/>
        <i x="225" s="1" nd="1"/>
        <i x="176" s="1" nd="1"/>
        <i x="120" s="1" nd="1"/>
        <i x="92" s="1" nd="1"/>
        <i x="192" s="1" nd="1"/>
        <i x="166" s="1" nd="1"/>
        <i x="5" s="1" nd="1"/>
        <i x="43" s="1" nd="1"/>
        <i x="154" s="1" nd="1"/>
        <i x="201" s="1" nd="1"/>
        <i x="123" s="1" nd="1"/>
        <i x="212" s="1" nd="1"/>
        <i x="17" s="1" nd="1"/>
        <i x="245" s="1" nd="1"/>
        <i x="80" s="1" nd="1"/>
        <i x="204" s="1" nd="1"/>
        <i x="67" s="1" nd="1"/>
        <i x="144" s="1" nd="1"/>
        <i x="139" s="1" nd="1"/>
        <i x="214" s="1" nd="1"/>
        <i x="193" s="1" nd="1"/>
        <i x="101" s="1" nd="1"/>
        <i x="106" s="1" nd="1"/>
        <i x="229" s="1" nd="1"/>
        <i x="135" s="1" nd="1"/>
        <i x="200" s="1" nd="1"/>
        <i x="21" s="1" nd="1"/>
        <i x="62" s="1" nd="1"/>
        <i x="28" s="1" nd="1"/>
        <i x="182" s="1" nd="1"/>
        <i x="149" s="1" nd="1"/>
        <i x="187" s="1" nd="1"/>
        <i x="136" s="1" nd="1"/>
        <i x="13" s="1" nd="1"/>
        <i x="236" s="1" nd="1"/>
        <i x="119" s="1" nd="1"/>
        <i x="131" s="1" nd="1"/>
        <i x="140" s="1" nd="1"/>
        <i x="242" s="1" nd="1"/>
        <i x="156" s="1" nd="1"/>
        <i x="52" s="1" nd="1"/>
        <i x="93" s="1" nd="1"/>
        <i x="98" s="1" nd="1"/>
        <i x="243" s="1" nd="1"/>
        <i x="169" s="1" nd="1"/>
        <i x="205" s="1" nd="1"/>
        <i x="171" s="1" nd="1"/>
        <i x="165" s="1" nd="1"/>
        <i x="122" s="1" nd="1"/>
        <i x="133" s="1" nd="1"/>
        <i x="104" s="1" nd="1"/>
        <i x="159" s="1" nd="1"/>
        <i x="233" s="1" nd="1"/>
        <i x="24" s="1" nd="1"/>
        <i x="42" s="1" nd="1"/>
        <i x="73" s="1" nd="1"/>
        <i x="16" s="1" nd="1"/>
        <i x="222" s="1" nd="1"/>
        <i x="68" s="1" nd="1"/>
        <i x="117" s="1" nd="1"/>
        <i x="30" s="1" nd="1"/>
        <i x="215" s="1" nd="1"/>
        <i x="184" s="1" nd="1"/>
        <i x="27" s="1" nd="1"/>
        <i x="203" s="1" nd="1"/>
        <i x="51" s="1" nd="1"/>
        <i x="239" s="1" nd="1"/>
        <i x="7" s="1" nd="1"/>
        <i x="145" s="1" nd="1"/>
        <i x="175" s="1" nd="1"/>
        <i x="227" s="1" nd="1"/>
        <i x="237" s="1" nd="1"/>
        <i x="87" s="1" nd="1"/>
        <i x="100" s="1" nd="1"/>
        <i x="70" s="1" nd="1"/>
        <i x="207" s="1" nd="1"/>
        <i x="74" s="1" nd="1"/>
        <i x="223" s="1" nd="1"/>
        <i x="240" s="1" nd="1"/>
        <i x="183" s="1" nd="1"/>
        <i x="244" s="1" nd="1"/>
        <i x="23" s="1" nd="1"/>
        <i x="124" s="1" nd="1"/>
        <i x="153" s="1" nd="1"/>
        <i x="158" s="1" nd="1"/>
        <i x="113" s="1" nd="1"/>
        <i x="33" s="1" nd="1"/>
        <i x="34" s="1" nd="1"/>
        <i x="186" s="1" nd="1"/>
        <i x="72" s="1" nd="1"/>
        <i x="3" s="1" nd="1"/>
        <i x="50" s="1" nd="1"/>
        <i x="102" s="1" nd="1"/>
        <i x="53" s="1" nd="1"/>
        <i x="96" s="1" nd="1"/>
        <i x="0" s="1" nd="1"/>
        <i x="177" s="1" nd="1"/>
        <i x="77" s="1" nd="1"/>
        <i x="148" s="1" nd="1"/>
        <i x="178" s="1" nd="1"/>
        <i x="1" s="1" nd="1"/>
        <i x="32" s="1" nd="1"/>
        <i x="78" s="1" nd="1"/>
        <i x="9" s="1" nd="1"/>
        <i x="54" s="1" nd="1"/>
        <i x="125" s="1" nd="1"/>
        <i x="61" s="1" nd="1"/>
        <i x="46" s="1" nd="1"/>
        <i x="94" s="1" nd="1"/>
        <i x="37" s="1" nd="1"/>
        <i x="246" s="1" nd="1"/>
        <i x="75" s="1" nd="1"/>
        <i x="213" s="1" nd="1"/>
        <i x="20" s="1" nd="1"/>
        <i x="155" s="1" nd="1"/>
        <i x="196" s="1" nd="1"/>
        <i x="208" s="1" nd="1"/>
        <i x="146" s="1" nd="1"/>
        <i x="180" s="1" nd="1"/>
        <i x="39" s="1" nd="1"/>
        <i x="232" s="1" nd="1"/>
        <i x="6" s="1" nd="1"/>
        <i x="57" s="1" nd="1"/>
        <i x="71" s="1" nd="1"/>
        <i x="127" s="1" nd="1"/>
        <i x="191" s="1" nd="1"/>
        <i x="217" s="1" nd="1"/>
        <i x="163" s="1" nd="1"/>
        <i x="189" s="1" nd="1"/>
        <i x="130" s="1" nd="1"/>
        <i x="234" s="1" nd="1"/>
        <i x="216" s="1" nd="1"/>
        <i x="10" s="1" nd="1"/>
        <i x="48" s="1" nd="1"/>
        <i x="35" s="1" nd="1"/>
        <i x="143" s="1" nd="1"/>
        <i x="18" s="1" nd="1"/>
        <i x="2" s="1" nd="1"/>
        <i x="15" s="1" nd="1"/>
        <i x="108" s="1" nd="1"/>
        <i x="230" s="1" nd="1"/>
        <i x="4" s="1" nd="1"/>
        <i x="85"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ly_Maintenance__hours" xr10:uid="{A1326FE4-805C-4386-854A-62ECCD14CD6A}" sourceName="Weekly Maintenance (hours)">
  <pivotTables>
    <pivotTable tabId="6" name="PivotTable3"/>
  </pivotTables>
  <data>
    <tabular pivotCacheId="830614514">
      <items count="56">
        <i x="8" s="1"/>
        <i x="9" s="1"/>
        <i x="3" s="1"/>
        <i x="7" s="1"/>
        <i x="2" s="1" nd="1"/>
        <i x="11" s="1" nd="1"/>
        <i x="21" s="1" nd="1"/>
        <i x="15" s="1" nd="1"/>
        <i x="14" s="1" nd="1"/>
        <i x="0" s="1" nd="1"/>
        <i x="4" s="1" nd="1"/>
        <i x="18" s="1" nd="1"/>
        <i x="16" s="1" nd="1"/>
        <i x="17" s="1" nd="1"/>
        <i x="24" s="1" nd="1"/>
        <i x="23" s="1" nd="1"/>
        <i x="22" s="1" nd="1"/>
        <i x="20" s="1" nd="1"/>
        <i x="19" s="1" nd="1"/>
        <i x="53" s="1" nd="1"/>
        <i x="13" s="1" nd="1"/>
        <i x="26" s="1" nd="1"/>
        <i x="12" s="1" nd="1"/>
        <i x="25" s="1" nd="1"/>
        <i x="43" s="1" nd="1"/>
        <i x="45" s="1" nd="1"/>
        <i x="36" s="1" nd="1"/>
        <i x="34" s="1" nd="1"/>
        <i x="5" s="1" nd="1"/>
        <i x="52" s="1" nd="1"/>
        <i x="42" s="1" nd="1"/>
        <i x="27" s="1" nd="1"/>
        <i x="55" s="1" nd="1"/>
        <i x="33" s="1" nd="1"/>
        <i x="28" s="1" nd="1"/>
        <i x="49" s="1" nd="1"/>
        <i x="37" s="1" nd="1"/>
        <i x="44" s="1" nd="1"/>
        <i x="47" s="1" nd="1"/>
        <i x="38" s="1" nd="1"/>
        <i x="50" s="1" nd="1"/>
        <i x="54" s="1" nd="1"/>
        <i x="39" s="1" nd="1"/>
        <i x="29" s="1" nd="1"/>
        <i x="35" s="1" nd="1"/>
        <i x="32" s="1" nd="1"/>
        <i x="46" s="1" nd="1"/>
        <i x="41" s="1" nd="1"/>
        <i x="31" s="1" nd="1"/>
        <i x="48" s="1" nd="1"/>
        <i x="30" s="1" nd="1"/>
        <i x="40" s="1" nd="1"/>
        <i x="51" s="1" nd="1"/>
        <i x="10" s="1" nd="1"/>
        <i x="6" s="1" nd="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ly_Maintenance__hours" xr10:uid="{B00091FC-14C7-4727-927C-89062F7035A7}" sourceName="Monthly Maintenance (hours)">
  <pivotTables>
    <pivotTable tabId="6" name="PivotTable3"/>
  </pivotTables>
  <data>
    <tabular pivotCacheId="830614514">
      <items count="56">
        <i x="8" s="1"/>
        <i x="9" s="1"/>
        <i x="3" s="1"/>
        <i x="7" s="1"/>
        <i x="2" s="1" nd="1"/>
        <i x="11" s="1" nd="1"/>
        <i x="21" s="1" nd="1"/>
        <i x="15" s="1" nd="1"/>
        <i x="14" s="1" nd="1"/>
        <i x="0" s="1" nd="1"/>
        <i x="4" s="1" nd="1"/>
        <i x="18" s="1" nd="1"/>
        <i x="16" s="1" nd="1"/>
        <i x="17" s="1" nd="1"/>
        <i x="24" s="1" nd="1"/>
        <i x="23" s="1" nd="1"/>
        <i x="22" s="1" nd="1"/>
        <i x="20" s="1" nd="1"/>
        <i x="19" s="1" nd="1"/>
        <i x="53" s="1" nd="1"/>
        <i x="13" s="1" nd="1"/>
        <i x="26" s="1" nd="1"/>
        <i x="12" s="1" nd="1"/>
        <i x="25" s="1" nd="1"/>
        <i x="43" s="1" nd="1"/>
        <i x="45" s="1" nd="1"/>
        <i x="36" s="1" nd="1"/>
        <i x="34" s="1" nd="1"/>
        <i x="5" s="1" nd="1"/>
        <i x="52" s="1" nd="1"/>
        <i x="42" s="1" nd="1"/>
        <i x="27" s="1" nd="1"/>
        <i x="55" s="1" nd="1"/>
        <i x="33" s="1" nd="1"/>
        <i x="28" s="1" nd="1"/>
        <i x="49" s="1" nd="1"/>
        <i x="37" s="1" nd="1"/>
        <i x="44" s="1" nd="1"/>
        <i x="47" s="1" nd="1"/>
        <i x="38" s="1" nd="1"/>
        <i x="50" s="1" nd="1"/>
        <i x="54" s="1" nd="1"/>
        <i x="39" s="1" nd="1"/>
        <i x="29" s="1" nd="1"/>
        <i x="35" s="1" nd="1"/>
        <i x="32" s="1" nd="1"/>
        <i x="46" s="1" nd="1"/>
        <i x="41" s="1" nd="1"/>
        <i x="31" s="1" nd="1"/>
        <i x="48" s="1" nd="1"/>
        <i x="30" s="1" nd="1"/>
        <i x="40" s="1" nd="1"/>
        <i x="51" s="1" nd="1"/>
        <i x="10" s="1" nd="1"/>
        <i x="6" s="1" nd="1"/>
        <i x="1"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iannual_Maintenance__hours" xr10:uid="{77E7582A-DA04-449B-A7A1-AC87CB3F7580}" sourceName="Biannual Maintenance (hours)">
  <pivotTables>
    <pivotTable tabId="6" name="PivotTable3"/>
  </pivotTables>
  <data>
    <tabular pivotCacheId="830614514">
      <items count="56">
        <i x="8" s="1"/>
        <i x="9" s="1"/>
        <i x="3" s="1"/>
        <i x="7" s="1"/>
        <i x="2" s="1" nd="1"/>
        <i x="11" s="1" nd="1"/>
        <i x="21" s="1" nd="1"/>
        <i x="15" s="1" nd="1"/>
        <i x="14" s="1" nd="1"/>
        <i x="0" s="1" nd="1"/>
        <i x="4" s="1" nd="1"/>
        <i x="18" s="1" nd="1"/>
        <i x="16" s="1" nd="1"/>
        <i x="17" s="1" nd="1"/>
        <i x="24" s="1" nd="1"/>
        <i x="23" s="1" nd="1"/>
        <i x="22" s="1" nd="1"/>
        <i x="20" s="1" nd="1"/>
        <i x="19" s="1" nd="1"/>
        <i x="53" s="1" nd="1"/>
        <i x="13" s="1" nd="1"/>
        <i x="26" s="1" nd="1"/>
        <i x="12" s="1" nd="1"/>
        <i x="25" s="1" nd="1"/>
        <i x="43" s="1" nd="1"/>
        <i x="45" s="1" nd="1"/>
        <i x="36" s="1" nd="1"/>
        <i x="34" s="1" nd="1"/>
        <i x="5" s="1" nd="1"/>
        <i x="52" s="1" nd="1"/>
        <i x="42" s="1" nd="1"/>
        <i x="27" s="1" nd="1"/>
        <i x="55" s="1" nd="1"/>
        <i x="33" s="1" nd="1"/>
        <i x="28" s="1" nd="1"/>
        <i x="49" s="1" nd="1"/>
        <i x="37" s="1" nd="1"/>
        <i x="44" s="1" nd="1"/>
        <i x="47" s="1" nd="1"/>
        <i x="38" s="1" nd="1"/>
        <i x="50" s="1" nd="1"/>
        <i x="54" s="1" nd="1"/>
        <i x="39" s="1" nd="1"/>
        <i x="29" s="1" nd="1"/>
        <i x="35" s="1" nd="1"/>
        <i x="32" s="1" nd="1"/>
        <i x="46" s="1" nd="1"/>
        <i x="41" s="1" nd="1"/>
        <i x="31" s="1" nd="1"/>
        <i x="48" s="1" nd="1"/>
        <i x="30" s="1" nd="1"/>
        <i x="40" s="1" nd="1"/>
        <i x="51" s="1" nd="1"/>
        <i x="10" s="1" nd="1"/>
        <i x="6" s="1" nd="1"/>
        <i x="1"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nual_Maintenance__hours" xr10:uid="{DEA5AE7C-014D-42E3-833E-F886B09D76C3}" sourceName="Annual Maintenance (hours)">
  <pivotTables>
    <pivotTable tabId="6" name="PivotTable3"/>
  </pivotTables>
  <data>
    <tabular pivotCacheId="830614514">
      <items count="56">
        <i x="8" s="1"/>
        <i x="9" s="1"/>
        <i x="3" s="1"/>
        <i x="7" s="1"/>
        <i x="2" s="1" nd="1"/>
        <i x="11" s="1" nd="1"/>
        <i x="21" s="1" nd="1"/>
        <i x="15" s="1" nd="1"/>
        <i x="14" s="1" nd="1"/>
        <i x="0" s="1" nd="1"/>
        <i x="4" s="1" nd="1"/>
        <i x="18" s="1" nd="1"/>
        <i x="16" s="1" nd="1"/>
        <i x="17" s="1" nd="1"/>
        <i x="24" s="1" nd="1"/>
        <i x="23" s="1" nd="1"/>
        <i x="22" s="1" nd="1"/>
        <i x="20" s="1" nd="1"/>
        <i x="19" s="1" nd="1"/>
        <i x="53" s="1" nd="1"/>
        <i x="13" s="1" nd="1"/>
        <i x="26" s="1" nd="1"/>
        <i x="12" s="1" nd="1"/>
        <i x="25" s="1" nd="1"/>
        <i x="43" s="1" nd="1"/>
        <i x="45" s="1" nd="1"/>
        <i x="36" s="1" nd="1"/>
        <i x="34" s="1" nd="1"/>
        <i x="5" s="1" nd="1"/>
        <i x="52" s="1" nd="1"/>
        <i x="42" s="1" nd="1"/>
        <i x="27" s="1" nd="1"/>
        <i x="55" s="1" nd="1"/>
        <i x="33" s="1" nd="1"/>
        <i x="28" s="1" nd="1"/>
        <i x="49" s="1" nd="1"/>
        <i x="37" s="1" nd="1"/>
        <i x="44" s="1" nd="1"/>
        <i x="47" s="1" nd="1"/>
        <i x="38" s="1" nd="1"/>
        <i x="50" s="1" nd="1"/>
        <i x="54" s="1" nd="1"/>
        <i x="39" s="1" nd="1"/>
        <i x="29" s="1" nd="1"/>
        <i x="35" s="1" nd="1"/>
        <i x="32" s="1" nd="1"/>
        <i x="46" s="1" nd="1"/>
        <i x="41" s="1" nd="1"/>
        <i x="31" s="1" nd="1"/>
        <i x="48" s="1" nd="1"/>
        <i x="30" s="1" nd="1"/>
        <i x="40" s="1" nd="1"/>
        <i x="51" s="1" nd="1"/>
        <i x="10" s="1" nd="1"/>
        <i x="6" s="1" nd="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_Maintenance_Time__hours" xr10:uid="{140B8F9F-1369-4547-B29F-A2E05F3210AE}" sourceName="Total Maintenance Time (hours)">
  <pivotTables>
    <pivotTable tabId="6" name="PivotTable3"/>
  </pivotTables>
  <data>
    <tabular pivotCacheId="830614514">
      <items count="56">
        <i x="2"/>
        <i x="0"/>
        <i x="4"/>
        <i x="8" s="1"/>
        <i x="9" s="1"/>
        <i x="3" s="1"/>
        <i x="5"/>
        <i x="7" s="1"/>
        <i x="10"/>
        <i x="6"/>
        <i x="1"/>
        <i x="11" s="1" nd="1"/>
        <i x="21" s="1" nd="1"/>
        <i x="15" s="1" nd="1"/>
        <i x="14" s="1" nd="1"/>
        <i x="18" nd="1"/>
        <i x="16" nd="1"/>
        <i x="17" nd="1"/>
        <i x="24" nd="1"/>
        <i x="23" nd="1"/>
        <i x="22" nd="1"/>
        <i x="20" nd="1"/>
        <i x="19" nd="1"/>
        <i x="53" nd="1"/>
        <i x="13" nd="1"/>
        <i x="26" nd="1"/>
        <i x="12" nd="1"/>
        <i x="25" nd="1"/>
        <i x="43" nd="1"/>
        <i x="45" nd="1"/>
        <i x="36" nd="1"/>
        <i x="34" nd="1"/>
        <i x="52" nd="1"/>
        <i x="42" nd="1"/>
        <i x="27" nd="1"/>
        <i x="55" nd="1"/>
        <i x="33" nd="1"/>
        <i x="28" nd="1"/>
        <i x="49" nd="1"/>
        <i x="37" nd="1"/>
        <i x="44" nd="1"/>
        <i x="47" nd="1"/>
        <i x="38" nd="1"/>
        <i x="50" nd="1"/>
        <i x="54" nd="1"/>
        <i x="39" nd="1"/>
        <i x="29" nd="1"/>
        <i x="35" nd="1"/>
        <i x="32" nd="1"/>
        <i x="46" nd="1"/>
        <i x="41" nd="1"/>
        <i x="31" nd="1"/>
        <i x="48" nd="1"/>
        <i x="30" nd="1"/>
        <i x="40" nd="1"/>
        <i x="5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ion Name" xr10:uid="{D8CE8A3C-C9C0-4AC3-9FFA-01B03839EDE7}" cache="Slicer_Station_Name" caption="Station Name" rowHeight="251883"/>
  <slicer name="# Bikes" xr10:uid="{84B3064E-411E-4D23-9EC4-43761DDC4372}" cache="Slicer___Bikes" caption="# Bikes" rowHeight="251883"/>
  <slicer name="Station Name 1" xr10:uid="{DCB12B12-5EA1-4BB6-BCB1-66DA501967A6}" cache="Slicer_Station_Name1" caption="Station Name" startItem="91" rowHeight="251883"/>
  <slicer name="Weekly Maintenance (hours)" xr10:uid="{A29135D6-70F8-493A-A8E2-7CB08BF12375}" cache="Slicer_Weekly_Maintenance__hours" caption="Weekly Maintenance (hours)" rowHeight="251883"/>
  <slicer name="Monthly Maintenance (hours)" xr10:uid="{96E2793D-7C20-4C25-BFB3-479CF1F71E30}" cache="Slicer_Monthly_Maintenance__hours" caption="Monthly Maintenance (hours)" rowHeight="251883"/>
  <slicer name="Biannual Maintenance (hours)" xr10:uid="{3C32DCE8-352E-4114-8095-3241D53891D4}" cache="Slicer_Biannual_Maintenance__hours" caption="Biannual Maintenance (hours)" rowHeight="251883"/>
  <slicer name="Annual Maintenance (hours)" xr10:uid="{7F552B5C-2F63-4FD2-82AC-CC4DF987FB23}" cache="Slicer_Annual_Maintenance__hours" caption="Annual Maintenance (hours)" startItem="14" rowHeight="251883"/>
  <slicer name="Total Maintenance Time (hours)" xr10:uid="{93967465-5888-419F-9507-2B29B9D8C889}" cache="Slicer_Total_Maintenance_Time__hours" caption="Total Maintenance Time (hours)"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96225A-42AE-47BA-8D04-7ADBD00AF027}" name="Table1" displayName="Table1" ref="A1:B251" totalsRowShown="0" headerRowDxfId="40">
  <autoFilter ref="A1:B251" xr:uid="{0096225A-42AE-47BA-8D04-7ADBD00AF027}"/>
  <tableColumns count="2">
    <tableColumn id="1" xr3:uid="{56E176DF-58FE-4DDC-B8C3-6B990C3A1492}" name="Station Name"/>
    <tableColumn id="2" xr3:uid="{184B69BF-2D76-4690-A816-FBC7BAA402EC}" name="# Bik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21DF4-C8CA-493F-B545-F2CB800FC806}">
  <dimension ref="A1:L50"/>
  <sheetViews>
    <sheetView tabSelected="1" zoomScale="65" workbookViewId="0">
      <selection sqref="A1:XFD50"/>
    </sheetView>
  </sheetViews>
  <sheetFormatPr defaultRowHeight="14.5" x14ac:dyDescent="0.35"/>
  <sheetData>
    <row r="1" spans="1:12" s="10" customFormat="1" ht="15" thickBot="1" x14ac:dyDescent="0.4">
      <c r="A1" s="9" t="s">
        <v>22</v>
      </c>
      <c r="B1" s="9"/>
      <c r="C1" s="9"/>
      <c r="D1" s="9"/>
      <c r="E1" s="9"/>
      <c r="F1" s="9"/>
      <c r="G1" s="9"/>
      <c r="H1" s="9"/>
      <c r="I1" s="9"/>
      <c r="J1" s="9"/>
      <c r="K1" s="9"/>
      <c r="L1" s="9"/>
    </row>
    <row r="2" spans="1:12" s="10" customFormat="1" ht="15" thickBot="1" x14ac:dyDescent="0.4">
      <c r="A2" s="9"/>
      <c r="B2" s="9"/>
      <c r="C2" s="9"/>
      <c r="D2" s="9"/>
      <c r="E2" s="9"/>
      <c r="F2" s="9"/>
      <c r="G2" s="9"/>
      <c r="H2" s="9"/>
      <c r="I2" s="9"/>
      <c r="J2" s="9"/>
      <c r="K2" s="9"/>
      <c r="L2" s="9"/>
    </row>
    <row r="3" spans="1:12" s="10" customFormat="1" ht="15" thickBot="1" x14ac:dyDescent="0.4">
      <c r="A3" s="9"/>
      <c r="B3" s="9"/>
      <c r="C3" s="9"/>
      <c r="D3" s="9"/>
      <c r="E3" s="9"/>
      <c r="F3" s="9"/>
      <c r="G3" s="9"/>
      <c r="H3" s="9"/>
      <c r="I3" s="9"/>
      <c r="J3" s="9"/>
      <c r="K3" s="9"/>
      <c r="L3" s="9"/>
    </row>
    <row r="4" spans="1:12" s="10" customFormat="1" ht="15" thickBot="1" x14ac:dyDescent="0.4">
      <c r="A4" s="9"/>
      <c r="B4" s="9"/>
      <c r="C4" s="9"/>
      <c r="D4" s="9"/>
      <c r="E4" s="9"/>
      <c r="F4" s="9"/>
      <c r="G4" s="9"/>
      <c r="H4" s="9"/>
      <c r="I4" s="9"/>
      <c r="J4" s="9"/>
      <c r="K4" s="9"/>
      <c r="L4" s="9"/>
    </row>
    <row r="5" spans="1:12" s="10" customFormat="1" ht="15" thickBot="1" x14ac:dyDescent="0.4">
      <c r="A5" s="9"/>
      <c r="B5" s="9"/>
      <c r="C5" s="9"/>
      <c r="D5" s="9"/>
      <c r="E5" s="9"/>
      <c r="F5" s="9"/>
      <c r="G5" s="9"/>
      <c r="H5" s="9"/>
      <c r="I5" s="9"/>
      <c r="J5" s="9"/>
      <c r="K5" s="9"/>
      <c r="L5" s="9"/>
    </row>
    <row r="6" spans="1:12" s="10" customFormat="1" ht="15" thickBot="1" x14ac:dyDescent="0.4">
      <c r="A6" s="9"/>
      <c r="B6" s="9"/>
      <c r="C6" s="9"/>
      <c r="D6" s="9"/>
      <c r="E6" s="9"/>
      <c r="F6" s="9"/>
      <c r="G6" s="9"/>
      <c r="H6" s="9"/>
      <c r="I6" s="9"/>
      <c r="J6" s="9"/>
      <c r="K6" s="9"/>
      <c r="L6" s="9"/>
    </row>
    <row r="7" spans="1:12" s="10" customFormat="1" ht="15" thickBot="1" x14ac:dyDescent="0.4">
      <c r="A7" s="9"/>
      <c r="B7" s="9"/>
      <c r="C7" s="9"/>
      <c r="D7" s="9"/>
      <c r="E7" s="9"/>
      <c r="F7" s="9"/>
      <c r="G7" s="9"/>
      <c r="H7" s="9"/>
      <c r="I7" s="9"/>
      <c r="J7" s="9"/>
      <c r="K7" s="9"/>
      <c r="L7" s="9"/>
    </row>
    <row r="8" spans="1:12" s="10" customFormat="1" ht="15" thickBot="1" x14ac:dyDescent="0.4">
      <c r="A8" s="9"/>
      <c r="B8" s="9"/>
      <c r="C8" s="9"/>
      <c r="D8" s="9"/>
      <c r="E8" s="9"/>
      <c r="F8" s="9"/>
      <c r="G8" s="9"/>
      <c r="H8" s="9"/>
      <c r="I8" s="9"/>
      <c r="J8" s="9"/>
      <c r="K8" s="9"/>
      <c r="L8" s="9"/>
    </row>
    <row r="9" spans="1:12" s="10" customFormat="1" ht="15" thickBot="1" x14ac:dyDescent="0.4">
      <c r="A9" s="9"/>
      <c r="B9" s="9"/>
      <c r="C9" s="9"/>
      <c r="D9" s="9"/>
      <c r="E9" s="9"/>
      <c r="F9" s="9"/>
      <c r="G9" s="9"/>
      <c r="H9" s="9"/>
      <c r="I9" s="9"/>
      <c r="J9" s="9"/>
      <c r="K9" s="9"/>
      <c r="L9" s="9"/>
    </row>
    <row r="10" spans="1:12" s="10" customFormat="1" ht="15" thickBot="1" x14ac:dyDescent="0.4">
      <c r="A10" s="9"/>
      <c r="B10" s="9"/>
      <c r="C10" s="9"/>
      <c r="D10" s="9"/>
      <c r="E10" s="9"/>
      <c r="F10" s="9"/>
      <c r="G10" s="9"/>
      <c r="H10" s="9"/>
      <c r="I10" s="9"/>
      <c r="J10" s="9"/>
      <c r="K10" s="9"/>
      <c r="L10" s="9"/>
    </row>
    <row r="11" spans="1:12" s="10" customFormat="1" ht="15" thickBot="1" x14ac:dyDescent="0.4">
      <c r="A11" s="9"/>
      <c r="B11" s="9"/>
      <c r="C11" s="9"/>
      <c r="D11" s="9"/>
      <c r="E11" s="9"/>
      <c r="F11" s="9"/>
      <c r="G11" s="9"/>
      <c r="H11" s="9"/>
      <c r="I11" s="9"/>
      <c r="J11" s="9"/>
      <c r="K11" s="9"/>
      <c r="L11" s="9"/>
    </row>
    <row r="12" spans="1:12" s="10" customFormat="1" ht="15" thickBot="1" x14ac:dyDescent="0.4">
      <c r="A12" s="9"/>
      <c r="B12" s="9"/>
      <c r="C12" s="9"/>
      <c r="D12" s="9"/>
      <c r="E12" s="9"/>
      <c r="F12" s="9"/>
      <c r="G12" s="9"/>
      <c r="H12" s="9"/>
      <c r="I12" s="9"/>
      <c r="J12" s="9"/>
      <c r="K12" s="9"/>
      <c r="L12" s="9"/>
    </row>
    <row r="13" spans="1:12" s="10" customFormat="1" ht="15" thickBot="1" x14ac:dyDescent="0.4">
      <c r="A13" s="9"/>
      <c r="B13" s="9"/>
      <c r="C13" s="9"/>
      <c r="D13" s="9"/>
      <c r="E13" s="9"/>
      <c r="F13" s="9"/>
      <c r="G13" s="9"/>
      <c r="H13" s="9"/>
      <c r="I13" s="9"/>
      <c r="J13" s="9"/>
      <c r="K13" s="9"/>
      <c r="L13" s="9"/>
    </row>
    <row r="14" spans="1:12" s="10" customFormat="1" ht="15" thickBot="1" x14ac:dyDescent="0.4">
      <c r="A14" s="9"/>
      <c r="B14" s="9"/>
      <c r="C14" s="9"/>
      <c r="D14" s="9"/>
      <c r="E14" s="9"/>
      <c r="F14" s="9"/>
      <c r="G14" s="9"/>
      <c r="H14" s="9"/>
      <c r="I14" s="9"/>
      <c r="J14" s="9"/>
      <c r="K14" s="9"/>
      <c r="L14" s="9"/>
    </row>
    <row r="15" spans="1:12" s="10" customFormat="1" ht="15" thickBot="1" x14ac:dyDescent="0.4">
      <c r="A15" s="9"/>
      <c r="B15" s="9"/>
      <c r="C15" s="9"/>
      <c r="D15" s="9"/>
      <c r="E15" s="9"/>
      <c r="F15" s="9"/>
      <c r="G15" s="9"/>
      <c r="H15" s="9"/>
      <c r="I15" s="9"/>
      <c r="J15" s="9"/>
      <c r="K15" s="9"/>
      <c r="L15" s="9"/>
    </row>
    <row r="16" spans="1:12" s="10" customFormat="1" ht="15" thickBot="1" x14ac:dyDescent="0.4">
      <c r="A16" s="9"/>
      <c r="B16" s="9"/>
      <c r="C16" s="9"/>
      <c r="D16" s="9"/>
      <c r="E16" s="9"/>
      <c r="F16" s="9"/>
      <c r="G16" s="9"/>
      <c r="H16" s="9"/>
      <c r="I16" s="9"/>
      <c r="J16" s="9"/>
      <c r="K16" s="9"/>
      <c r="L16" s="9"/>
    </row>
    <row r="17" spans="1:2" s="10" customFormat="1" ht="15" thickBot="1" x14ac:dyDescent="0.4">
      <c r="A17" s="9"/>
      <c r="B17" s="9"/>
    </row>
    <row r="18" spans="1:2" s="10" customFormat="1" ht="15" thickBot="1" x14ac:dyDescent="0.4">
      <c r="A18" s="9"/>
      <c r="B18" s="9"/>
    </row>
    <row r="19" spans="1:2" s="10" customFormat="1" ht="15" thickBot="1" x14ac:dyDescent="0.4">
      <c r="A19" s="9"/>
      <c r="B19" s="9"/>
    </row>
    <row r="20" spans="1:2" s="10" customFormat="1" ht="15" thickBot="1" x14ac:dyDescent="0.4">
      <c r="A20" s="9"/>
      <c r="B20" s="9"/>
    </row>
    <row r="21" spans="1:2" s="10" customFormat="1" ht="15" thickBot="1" x14ac:dyDescent="0.4">
      <c r="A21" s="9"/>
      <c r="B21" s="9"/>
    </row>
    <row r="22" spans="1:2" s="10" customFormat="1" ht="15" thickBot="1" x14ac:dyDescent="0.4">
      <c r="A22" s="9"/>
      <c r="B22" s="9"/>
    </row>
    <row r="23" spans="1:2" s="10" customFormat="1" ht="15" thickBot="1" x14ac:dyDescent="0.4">
      <c r="A23" s="9"/>
      <c r="B23" s="9"/>
    </row>
    <row r="24" spans="1:2" s="10" customFormat="1" ht="15" thickBot="1" x14ac:dyDescent="0.4">
      <c r="A24" s="9"/>
      <c r="B24" s="9"/>
    </row>
    <row r="25" spans="1:2" s="10" customFormat="1" ht="15" thickBot="1" x14ac:dyDescent="0.4">
      <c r="A25" s="9"/>
      <c r="B25" s="9"/>
    </row>
    <row r="26" spans="1:2" s="10" customFormat="1" ht="15" thickBot="1" x14ac:dyDescent="0.4">
      <c r="A26" s="9"/>
      <c r="B26" s="9"/>
    </row>
    <row r="27" spans="1:2" s="10" customFormat="1" ht="15" thickBot="1" x14ac:dyDescent="0.4">
      <c r="A27" s="9"/>
      <c r="B27" s="9"/>
    </row>
    <row r="28" spans="1:2" s="10" customFormat="1" ht="15" thickBot="1" x14ac:dyDescent="0.4">
      <c r="A28" s="9"/>
      <c r="B28" s="9"/>
    </row>
    <row r="29" spans="1:2" s="10" customFormat="1" ht="14.5" hidden="1" customHeight="1" x14ac:dyDescent="0.35">
      <c r="A29" s="9"/>
      <c r="B29" s="9"/>
    </row>
    <row r="30" spans="1:2" s="10" customFormat="1" ht="14.5" hidden="1" customHeight="1" x14ac:dyDescent="0.35">
      <c r="A30" s="9"/>
      <c r="B30" s="9"/>
    </row>
    <row r="31" spans="1:2" s="10" customFormat="1" ht="14.5" hidden="1" customHeight="1" x14ac:dyDescent="0.35">
      <c r="A31" s="9"/>
      <c r="B31" s="9"/>
    </row>
    <row r="32" spans="1:2" s="10" customFormat="1" ht="14.5" hidden="1" customHeight="1" x14ac:dyDescent="0.35">
      <c r="A32" s="9"/>
      <c r="B32" s="9"/>
    </row>
    <row r="33" spans="1:2" s="10" customFormat="1" ht="14.5" hidden="1" customHeight="1" x14ac:dyDescent="0.35">
      <c r="A33" s="9"/>
      <c r="B33" s="9"/>
    </row>
    <row r="34" spans="1:2" s="10" customFormat="1" ht="14.5" hidden="1" customHeight="1" x14ac:dyDescent="0.35">
      <c r="A34" s="9"/>
      <c r="B34" s="9"/>
    </row>
    <row r="35" spans="1:2" s="10" customFormat="1" ht="14.5" hidden="1" customHeight="1" x14ac:dyDescent="0.35">
      <c r="A35" s="9"/>
      <c r="B35" s="9"/>
    </row>
    <row r="36" spans="1:2" s="10" customFormat="1" ht="14.5" hidden="1" customHeight="1" x14ac:dyDescent="0.35">
      <c r="A36" s="9"/>
      <c r="B36" s="9"/>
    </row>
    <row r="37" spans="1:2" s="10" customFormat="1" ht="14.5" hidden="1" customHeight="1" x14ac:dyDescent="0.35">
      <c r="A37" s="9"/>
      <c r="B37" s="9"/>
    </row>
    <row r="38" spans="1:2" s="10" customFormat="1" ht="14.5" hidden="1" customHeight="1" x14ac:dyDescent="0.35">
      <c r="A38" s="9"/>
      <c r="B38" s="9"/>
    </row>
    <row r="39" spans="1:2" s="10" customFormat="1" ht="14.5" hidden="1" customHeight="1" x14ac:dyDescent="0.35">
      <c r="A39" s="9"/>
      <c r="B39" s="9"/>
    </row>
    <row r="40" spans="1:2" s="10" customFormat="1" ht="14.5" hidden="1" customHeight="1" x14ac:dyDescent="0.35">
      <c r="A40" s="9"/>
      <c r="B40" s="9"/>
    </row>
    <row r="41" spans="1:2" s="10" customFormat="1" ht="14.5" hidden="1" customHeight="1" x14ac:dyDescent="0.35">
      <c r="A41" s="9"/>
      <c r="B41" s="9"/>
    </row>
    <row r="42" spans="1:2" s="10" customFormat="1" ht="15" thickBot="1" x14ac:dyDescent="0.4">
      <c r="A42" s="9"/>
      <c r="B42" s="9"/>
    </row>
    <row r="43" spans="1:2" s="10" customFormat="1" ht="15" thickBot="1" x14ac:dyDescent="0.4">
      <c r="A43" s="9"/>
      <c r="B43" s="9"/>
    </row>
    <row r="44" spans="1:2" s="10" customFormat="1" ht="15" thickBot="1" x14ac:dyDescent="0.4">
      <c r="A44" s="9"/>
      <c r="B44" s="9"/>
    </row>
    <row r="45" spans="1:2" s="10" customFormat="1" ht="15" thickBot="1" x14ac:dyDescent="0.4">
      <c r="A45" s="9"/>
      <c r="B45" s="9"/>
    </row>
    <row r="46" spans="1:2" s="10" customFormat="1" ht="15" thickBot="1" x14ac:dyDescent="0.4">
      <c r="A46" s="9"/>
      <c r="B46" s="9"/>
    </row>
    <row r="47" spans="1:2" s="10" customFormat="1" ht="15" thickBot="1" x14ac:dyDescent="0.4">
      <c r="A47" s="9"/>
      <c r="B47" s="9"/>
    </row>
    <row r="48" spans="1:2" s="10" customFormat="1" ht="15" thickBot="1" x14ac:dyDescent="0.4">
      <c r="A48" s="9"/>
      <c r="B48" s="9"/>
    </row>
    <row r="49" s="10" customFormat="1" ht="15" thickBot="1" x14ac:dyDescent="0.4"/>
    <row r="50" s="10" customFormat="1" ht="15" thickBot="1" x14ac:dyDescent="0.4"/>
  </sheetData>
  <mergeCells count="1">
    <mergeCell ref="A1:XFD50"/>
  </mergeCells>
  <dataValidations count="1">
    <dataValidation type="list" allowBlank="1" showInputMessage="1" showErrorMessage="1" sqref="A1" xr:uid="{6F80B069-8619-4449-9045-5F0FD2F212BA}">
      <formula1>$B$30:$B$41</formula1>
    </dataValidation>
  </dataValidation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CAF35-4853-4B5A-9182-2B13849B9DA9}">
  <sheetPr codeName="Sheet1"/>
  <dimension ref="A1:H251"/>
  <sheetViews>
    <sheetView topLeftCell="A229" workbookViewId="0">
      <selection activeCell="A2" sqref="A2:A251"/>
    </sheetView>
  </sheetViews>
  <sheetFormatPr defaultRowHeight="14.5" x14ac:dyDescent="0.35"/>
  <cols>
    <col min="1" max="1" width="26.26953125" customWidth="1"/>
    <col min="7" max="7" width="18.90625" bestFit="1" customWidth="1"/>
    <col min="8" max="8" width="13" bestFit="1" customWidth="1"/>
  </cols>
  <sheetData>
    <row r="1" spans="1:8" x14ac:dyDescent="0.35">
      <c r="A1" s="2" t="s">
        <v>0</v>
      </c>
      <c r="B1" s="2" t="s">
        <v>1</v>
      </c>
      <c r="G1" s="8" t="s">
        <v>10</v>
      </c>
      <c r="H1" t="s">
        <v>23</v>
      </c>
    </row>
    <row r="2" spans="1:8" x14ac:dyDescent="0.35">
      <c r="A2" t="s">
        <v>25</v>
      </c>
      <c r="B2">
        <v>5</v>
      </c>
      <c r="G2" s="4" t="s">
        <v>26</v>
      </c>
      <c r="H2">
        <v>6</v>
      </c>
    </row>
    <row r="3" spans="1:8" x14ac:dyDescent="0.35">
      <c r="A3" t="s">
        <v>26</v>
      </c>
      <c r="B3">
        <v>5</v>
      </c>
      <c r="G3" s="4" t="s">
        <v>29</v>
      </c>
      <c r="H3">
        <v>6</v>
      </c>
    </row>
    <row r="4" spans="1:8" x14ac:dyDescent="0.35">
      <c r="A4" t="s">
        <v>27</v>
      </c>
      <c r="B4">
        <v>5</v>
      </c>
      <c r="G4" s="4" t="s">
        <v>31</v>
      </c>
      <c r="H4">
        <v>4</v>
      </c>
    </row>
    <row r="5" spans="1:8" x14ac:dyDescent="0.35">
      <c r="A5" t="s">
        <v>28</v>
      </c>
      <c r="B5">
        <v>55</v>
      </c>
      <c r="G5" s="4" t="s">
        <v>32</v>
      </c>
      <c r="H5">
        <v>3</v>
      </c>
    </row>
    <row r="6" spans="1:8" x14ac:dyDescent="0.35">
      <c r="A6" t="s">
        <v>29</v>
      </c>
      <c r="B6">
        <v>0</v>
      </c>
      <c r="G6" s="4" t="s">
        <v>35</v>
      </c>
      <c r="H6">
        <v>4</v>
      </c>
    </row>
    <row r="7" spans="1:8" x14ac:dyDescent="0.35">
      <c r="A7" t="s">
        <v>30</v>
      </c>
      <c r="B7">
        <v>5</v>
      </c>
      <c r="G7" s="4" t="s">
        <v>37</v>
      </c>
      <c r="H7">
        <v>6</v>
      </c>
    </row>
    <row r="8" spans="1:8" x14ac:dyDescent="0.35">
      <c r="A8" t="s">
        <v>31</v>
      </c>
      <c r="B8">
        <v>55</v>
      </c>
      <c r="G8" s="4" t="s">
        <v>41</v>
      </c>
      <c r="H8">
        <v>2</v>
      </c>
    </row>
    <row r="9" spans="1:8" x14ac:dyDescent="0.35">
      <c r="A9" t="s">
        <v>32</v>
      </c>
      <c r="B9">
        <v>5</v>
      </c>
      <c r="G9" s="4" t="s">
        <v>49</v>
      </c>
      <c r="H9">
        <v>6</v>
      </c>
    </row>
    <row r="10" spans="1:8" x14ac:dyDescent="0.35">
      <c r="A10" t="s">
        <v>33</v>
      </c>
      <c r="B10">
        <v>0</v>
      </c>
      <c r="G10" s="4" t="s">
        <v>59</v>
      </c>
      <c r="H10">
        <v>4</v>
      </c>
    </row>
    <row r="11" spans="1:8" x14ac:dyDescent="0.35">
      <c r="A11" t="s">
        <v>34</v>
      </c>
      <c r="B11">
        <v>5</v>
      </c>
      <c r="G11" s="4" t="s">
        <v>87</v>
      </c>
      <c r="H11">
        <v>6</v>
      </c>
    </row>
    <row r="12" spans="1:8" x14ac:dyDescent="0.35">
      <c r="A12" t="s">
        <v>35</v>
      </c>
      <c r="B12">
        <v>55</v>
      </c>
      <c r="G12" s="4" t="s">
        <v>100</v>
      </c>
      <c r="H12">
        <v>6</v>
      </c>
    </row>
    <row r="13" spans="1:8" x14ac:dyDescent="0.35">
      <c r="A13" t="s">
        <v>36</v>
      </c>
      <c r="B13">
        <v>0</v>
      </c>
      <c r="G13" s="4" t="s">
        <v>165</v>
      </c>
      <c r="H13">
        <v>6</v>
      </c>
    </row>
    <row r="14" spans="1:8" x14ac:dyDescent="0.35">
      <c r="A14" t="s">
        <v>37</v>
      </c>
      <c r="B14">
        <v>5</v>
      </c>
      <c r="G14" s="4" t="s">
        <v>192</v>
      </c>
      <c r="H14">
        <v>6</v>
      </c>
    </row>
    <row r="15" spans="1:8" x14ac:dyDescent="0.35">
      <c r="A15" t="s">
        <v>38</v>
      </c>
      <c r="B15">
        <v>5</v>
      </c>
      <c r="G15" s="4" t="s">
        <v>200</v>
      </c>
      <c r="H15">
        <v>6</v>
      </c>
    </row>
    <row r="16" spans="1:8" x14ac:dyDescent="0.35">
      <c r="A16" t="s">
        <v>39</v>
      </c>
      <c r="B16">
        <v>5</v>
      </c>
      <c r="G16" s="4" t="s">
        <v>11</v>
      </c>
      <c r="H16">
        <v>71</v>
      </c>
    </row>
    <row r="17" spans="1:2" x14ac:dyDescent="0.35">
      <c r="A17" t="s">
        <v>40</v>
      </c>
      <c r="B17">
        <v>5</v>
      </c>
    </row>
    <row r="18" spans="1:2" x14ac:dyDescent="0.35">
      <c r="A18" t="s">
        <v>41</v>
      </c>
      <c r="B18">
        <v>55</v>
      </c>
    </row>
    <row r="19" spans="1:2" x14ac:dyDescent="0.35">
      <c r="A19" t="s">
        <v>42</v>
      </c>
      <c r="B19">
        <v>0</v>
      </c>
    </row>
    <row r="20" spans="1:2" x14ac:dyDescent="0.35">
      <c r="A20" t="s">
        <v>43</v>
      </c>
      <c r="B20">
        <v>5</v>
      </c>
    </row>
    <row r="21" spans="1:2" x14ac:dyDescent="0.35">
      <c r="A21" t="s">
        <v>44</v>
      </c>
      <c r="B21">
        <v>5</v>
      </c>
    </row>
    <row r="22" spans="1:2" x14ac:dyDescent="0.35">
      <c r="A22" t="s">
        <v>45</v>
      </c>
      <c r="B22">
        <v>5</v>
      </c>
    </row>
    <row r="23" spans="1:2" x14ac:dyDescent="0.35">
      <c r="A23" t="s">
        <v>46</v>
      </c>
      <c r="B23">
        <v>0</v>
      </c>
    </row>
    <row r="24" spans="1:2" x14ac:dyDescent="0.35">
      <c r="A24" t="s">
        <v>47</v>
      </c>
      <c r="B24">
        <v>55</v>
      </c>
    </row>
    <row r="25" spans="1:2" x14ac:dyDescent="0.35">
      <c r="A25" t="s">
        <v>48</v>
      </c>
      <c r="B25">
        <v>0</v>
      </c>
    </row>
    <row r="26" spans="1:2" x14ac:dyDescent="0.35">
      <c r="A26" t="s">
        <v>49</v>
      </c>
      <c r="B26">
        <v>0</v>
      </c>
    </row>
    <row r="27" spans="1:2" x14ac:dyDescent="0.35">
      <c r="A27" t="s">
        <v>50</v>
      </c>
      <c r="B27">
        <v>5</v>
      </c>
    </row>
    <row r="28" spans="1:2" x14ac:dyDescent="0.35">
      <c r="A28" t="s">
        <v>51</v>
      </c>
      <c r="B28">
        <v>0</v>
      </c>
    </row>
    <row r="29" spans="1:2" x14ac:dyDescent="0.35">
      <c r="A29" t="s">
        <v>52</v>
      </c>
      <c r="B29">
        <v>0</v>
      </c>
    </row>
    <row r="30" spans="1:2" x14ac:dyDescent="0.35">
      <c r="A30" t="s">
        <v>53</v>
      </c>
      <c r="B30">
        <v>0</v>
      </c>
    </row>
    <row r="31" spans="1:2" x14ac:dyDescent="0.35">
      <c r="A31" t="s">
        <v>54</v>
      </c>
      <c r="B31">
        <v>5</v>
      </c>
    </row>
    <row r="32" spans="1:2" x14ac:dyDescent="0.35">
      <c r="A32" t="s">
        <v>55</v>
      </c>
      <c r="B32">
        <v>5</v>
      </c>
    </row>
    <row r="33" spans="1:2" x14ac:dyDescent="0.35">
      <c r="A33" t="s">
        <v>56</v>
      </c>
      <c r="B33">
        <v>5</v>
      </c>
    </row>
    <row r="34" spans="1:2" x14ac:dyDescent="0.35">
      <c r="A34" t="s">
        <v>57</v>
      </c>
      <c r="B34">
        <v>5</v>
      </c>
    </row>
    <row r="35" spans="1:2" x14ac:dyDescent="0.35">
      <c r="A35" t="s">
        <v>58</v>
      </c>
      <c r="B35">
        <v>55</v>
      </c>
    </row>
    <row r="36" spans="1:2" x14ac:dyDescent="0.35">
      <c r="A36" t="s">
        <v>59</v>
      </c>
      <c r="B36">
        <v>5</v>
      </c>
    </row>
    <row r="37" spans="1:2" x14ac:dyDescent="0.35">
      <c r="A37" t="s">
        <v>60</v>
      </c>
      <c r="B37">
        <v>5</v>
      </c>
    </row>
    <row r="38" spans="1:2" x14ac:dyDescent="0.35">
      <c r="A38" t="s">
        <v>61</v>
      </c>
      <c r="B38">
        <v>5</v>
      </c>
    </row>
    <row r="39" spans="1:2" x14ac:dyDescent="0.35">
      <c r="A39" t="s">
        <v>62</v>
      </c>
      <c r="B39">
        <v>5</v>
      </c>
    </row>
    <row r="40" spans="1:2" x14ac:dyDescent="0.35">
      <c r="A40" t="s">
        <v>63</v>
      </c>
      <c r="B40">
        <v>0</v>
      </c>
    </row>
    <row r="41" spans="1:2" x14ac:dyDescent="0.35">
      <c r="A41" t="s">
        <v>64</v>
      </c>
      <c r="B41">
        <v>0</v>
      </c>
    </row>
    <row r="42" spans="1:2" x14ac:dyDescent="0.35">
      <c r="A42" t="s">
        <v>65</v>
      </c>
      <c r="B42">
        <v>20</v>
      </c>
    </row>
    <row r="43" spans="1:2" x14ac:dyDescent="0.35">
      <c r="A43" t="s">
        <v>66</v>
      </c>
      <c r="B43">
        <v>55</v>
      </c>
    </row>
    <row r="44" spans="1:2" x14ac:dyDescent="0.35">
      <c r="A44" t="s">
        <v>67</v>
      </c>
      <c r="B44">
        <v>5</v>
      </c>
    </row>
    <row r="45" spans="1:2" x14ac:dyDescent="0.35">
      <c r="A45" t="s">
        <v>68</v>
      </c>
      <c r="B45">
        <v>6</v>
      </c>
    </row>
    <row r="46" spans="1:2" x14ac:dyDescent="0.35">
      <c r="A46" t="s">
        <v>69</v>
      </c>
      <c r="B46">
        <v>0</v>
      </c>
    </row>
    <row r="47" spans="1:2" x14ac:dyDescent="0.35">
      <c r="A47" t="s">
        <v>70</v>
      </c>
      <c r="B47">
        <v>5</v>
      </c>
    </row>
    <row r="48" spans="1:2" x14ac:dyDescent="0.35">
      <c r="A48" t="s">
        <v>71</v>
      </c>
      <c r="B48">
        <v>5</v>
      </c>
    </row>
    <row r="49" spans="1:2" x14ac:dyDescent="0.35">
      <c r="A49" t="s">
        <v>72</v>
      </c>
      <c r="B49">
        <v>5</v>
      </c>
    </row>
    <row r="50" spans="1:2" x14ac:dyDescent="0.35">
      <c r="A50" t="s">
        <v>73</v>
      </c>
      <c r="B50">
        <v>0</v>
      </c>
    </row>
    <row r="51" spans="1:2" x14ac:dyDescent="0.35">
      <c r="A51" t="s">
        <v>74</v>
      </c>
      <c r="B51">
        <v>0</v>
      </c>
    </row>
    <row r="52" spans="1:2" x14ac:dyDescent="0.35">
      <c r="A52" t="s">
        <v>75</v>
      </c>
      <c r="B52">
        <v>5</v>
      </c>
    </row>
    <row r="53" spans="1:2" x14ac:dyDescent="0.35">
      <c r="A53" t="s">
        <v>76</v>
      </c>
      <c r="B53">
        <v>0</v>
      </c>
    </row>
    <row r="54" spans="1:2" x14ac:dyDescent="0.35">
      <c r="A54" t="s">
        <v>77</v>
      </c>
      <c r="B54">
        <v>0</v>
      </c>
    </row>
    <row r="55" spans="1:2" x14ac:dyDescent="0.35">
      <c r="A55" t="s">
        <v>78</v>
      </c>
      <c r="B55">
        <v>55</v>
      </c>
    </row>
    <row r="56" spans="1:2" x14ac:dyDescent="0.35">
      <c r="A56" t="s">
        <v>79</v>
      </c>
      <c r="B56">
        <v>0</v>
      </c>
    </row>
    <row r="57" spans="1:2" x14ac:dyDescent="0.35">
      <c r="A57" t="s">
        <v>80</v>
      </c>
      <c r="B57">
        <v>25</v>
      </c>
    </row>
    <row r="58" spans="1:2" x14ac:dyDescent="0.35">
      <c r="A58" t="s">
        <v>81</v>
      </c>
      <c r="B58">
        <v>0</v>
      </c>
    </row>
    <row r="59" spans="1:2" x14ac:dyDescent="0.35">
      <c r="A59" t="s">
        <v>82</v>
      </c>
      <c r="B59">
        <v>5</v>
      </c>
    </row>
    <row r="60" spans="1:2" x14ac:dyDescent="0.35">
      <c r="A60" t="s">
        <v>83</v>
      </c>
      <c r="B60">
        <v>5</v>
      </c>
    </row>
    <row r="61" spans="1:2" x14ac:dyDescent="0.35">
      <c r="A61" t="s">
        <v>84</v>
      </c>
      <c r="B61">
        <v>0</v>
      </c>
    </row>
    <row r="62" spans="1:2" x14ac:dyDescent="0.35">
      <c r="A62" t="s">
        <v>85</v>
      </c>
      <c r="B62">
        <v>5</v>
      </c>
    </row>
    <row r="63" spans="1:2" x14ac:dyDescent="0.35">
      <c r="A63" t="s">
        <v>86</v>
      </c>
      <c r="B63">
        <v>54.999999999999702</v>
      </c>
    </row>
    <row r="64" spans="1:2" x14ac:dyDescent="0.35">
      <c r="A64" t="s">
        <v>87</v>
      </c>
      <c r="B64">
        <v>5</v>
      </c>
    </row>
    <row r="65" spans="1:2" x14ac:dyDescent="0.35">
      <c r="A65" t="s">
        <v>88</v>
      </c>
      <c r="B65">
        <v>5</v>
      </c>
    </row>
    <row r="66" spans="1:2" x14ac:dyDescent="0.35">
      <c r="A66" t="s">
        <v>89</v>
      </c>
      <c r="B66">
        <v>30</v>
      </c>
    </row>
    <row r="67" spans="1:2" x14ac:dyDescent="0.35">
      <c r="A67" t="s">
        <v>90</v>
      </c>
      <c r="B67">
        <v>0</v>
      </c>
    </row>
    <row r="68" spans="1:2" x14ac:dyDescent="0.35">
      <c r="A68" t="s">
        <v>91</v>
      </c>
      <c r="B68">
        <v>5</v>
      </c>
    </row>
    <row r="69" spans="1:2" x14ac:dyDescent="0.35">
      <c r="A69" t="s">
        <v>92</v>
      </c>
      <c r="B69">
        <v>55</v>
      </c>
    </row>
    <row r="70" spans="1:2" x14ac:dyDescent="0.35">
      <c r="A70" t="s">
        <v>93</v>
      </c>
      <c r="B70">
        <v>0</v>
      </c>
    </row>
    <row r="71" spans="1:2" x14ac:dyDescent="0.35">
      <c r="A71" t="s">
        <v>94</v>
      </c>
      <c r="B71">
        <v>0</v>
      </c>
    </row>
    <row r="72" spans="1:2" x14ac:dyDescent="0.35">
      <c r="A72" t="s">
        <v>95</v>
      </c>
      <c r="B72">
        <v>5</v>
      </c>
    </row>
    <row r="73" spans="1:2" x14ac:dyDescent="0.35">
      <c r="A73" t="s">
        <v>96</v>
      </c>
      <c r="B73">
        <v>5</v>
      </c>
    </row>
    <row r="74" spans="1:2" x14ac:dyDescent="0.35">
      <c r="A74" t="s">
        <v>97</v>
      </c>
      <c r="B74">
        <v>5</v>
      </c>
    </row>
    <row r="75" spans="1:2" x14ac:dyDescent="0.35">
      <c r="A75" t="s">
        <v>98</v>
      </c>
      <c r="B75">
        <v>5</v>
      </c>
    </row>
    <row r="76" spans="1:2" x14ac:dyDescent="0.35">
      <c r="A76" t="s">
        <v>99</v>
      </c>
      <c r="B76">
        <v>5</v>
      </c>
    </row>
    <row r="77" spans="1:2" x14ac:dyDescent="0.35">
      <c r="A77" t="s">
        <v>100</v>
      </c>
      <c r="B77">
        <v>5</v>
      </c>
    </row>
    <row r="78" spans="1:2" x14ac:dyDescent="0.35">
      <c r="A78" t="s">
        <v>101</v>
      </c>
      <c r="B78">
        <v>5</v>
      </c>
    </row>
    <row r="79" spans="1:2" x14ac:dyDescent="0.35">
      <c r="A79" t="s">
        <v>102</v>
      </c>
      <c r="B79">
        <v>0</v>
      </c>
    </row>
    <row r="80" spans="1:2" x14ac:dyDescent="0.35">
      <c r="A80" t="s">
        <v>103</v>
      </c>
      <c r="B80">
        <v>0</v>
      </c>
    </row>
    <row r="81" spans="1:2" x14ac:dyDescent="0.35">
      <c r="A81" t="s">
        <v>104</v>
      </c>
      <c r="B81">
        <v>0</v>
      </c>
    </row>
    <row r="82" spans="1:2" x14ac:dyDescent="0.35">
      <c r="A82" t="s">
        <v>105</v>
      </c>
      <c r="B82">
        <v>0</v>
      </c>
    </row>
    <row r="83" spans="1:2" x14ac:dyDescent="0.35">
      <c r="A83" t="s">
        <v>106</v>
      </c>
      <c r="B83">
        <v>20</v>
      </c>
    </row>
    <row r="84" spans="1:2" x14ac:dyDescent="0.35">
      <c r="A84" t="s">
        <v>107</v>
      </c>
      <c r="B84">
        <v>5</v>
      </c>
    </row>
    <row r="85" spans="1:2" x14ac:dyDescent="0.35">
      <c r="A85" t="s">
        <v>108</v>
      </c>
      <c r="B85">
        <v>5</v>
      </c>
    </row>
    <row r="86" spans="1:2" x14ac:dyDescent="0.35">
      <c r="A86" t="s">
        <v>109</v>
      </c>
      <c r="B86">
        <v>0</v>
      </c>
    </row>
    <row r="87" spans="1:2" x14ac:dyDescent="0.35">
      <c r="A87" t="s">
        <v>110</v>
      </c>
      <c r="B87">
        <v>5</v>
      </c>
    </row>
    <row r="88" spans="1:2" x14ac:dyDescent="0.35">
      <c r="A88" t="s">
        <v>111</v>
      </c>
      <c r="B88">
        <v>25</v>
      </c>
    </row>
    <row r="89" spans="1:2" x14ac:dyDescent="0.35">
      <c r="A89" t="s">
        <v>112</v>
      </c>
      <c r="B89">
        <v>5</v>
      </c>
    </row>
    <row r="90" spans="1:2" x14ac:dyDescent="0.35">
      <c r="A90" t="s">
        <v>113</v>
      </c>
      <c r="B90">
        <v>5</v>
      </c>
    </row>
    <row r="91" spans="1:2" x14ac:dyDescent="0.35">
      <c r="A91" t="s">
        <v>114</v>
      </c>
      <c r="B91">
        <v>5</v>
      </c>
    </row>
    <row r="92" spans="1:2" x14ac:dyDescent="0.35">
      <c r="A92" t="s">
        <v>115</v>
      </c>
      <c r="B92">
        <v>0</v>
      </c>
    </row>
    <row r="93" spans="1:2" x14ac:dyDescent="0.35">
      <c r="A93" t="s">
        <v>116</v>
      </c>
      <c r="B93">
        <v>0</v>
      </c>
    </row>
    <row r="94" spans="1:2" x14ac:dyDescent="0.35">
      <c r="A94" t="s">
        <v>117</v>
      </c>
      <c r="B94">
        <v>55</v>
      </c>
    </row>
    <row r="95" spans="1:2" x14ac:dyDescent="0.35">
      <c r="A95" t="s">
        <v>118</v>
      </c>
      <c r="B95">
        <v>5</v>
      </c>
    </row>
    <row r="96" spans="1:2" x14ac:dyDescent="0.35">
      <c r="A96" t="s">
        <v>119</v>
      </c>
      <c r="B96">
        <v>5</v>
      </c>
    </row>
    <row r="97" spans="1:2" x14ac:dyDescent="0.35">
      <c r="A97" t="s">
        <v>120</v>
      </c>
      <c r="B97">
        <v>0</v>
      </c>
    </row>
    <row r="98" spans="1:2" x14ac:dyDescent="0.35">
      <c r="A98" t="s">
        <v>121</v>
      </c>
      <c r="B98">
        <v>5</v>
      </c>
    </row>
    <row r="99" spans="1:2" x14ac:dyDescent="0.35">
      <c r="A99" t="s">
        <v>122</v>
      </c>
      <c r="B99">
        <v>55</v>
      </c>
    </row>
    <row r="100" spans="1:2" x14ac:dyDescent="0.35">
      <c r="A100" t="s">
        <v>123</v>
      </c>
      <c r="B100">
        <v>0</v>
      </c>
    </row>
    <row r="101" spans="1:2" x14ac:dyDescent="0.35">
      <c r="A101" t="s">
        <v>124</v>
      </c>
      <c r="B101">
        <v>5</v>
      </c>
    </row>
    <row r="102" spans="1:2" x14ac:dyDescent="0.35">
      <c r="A102" t="s">
        <v>125</v>
      </c>
      <c r="B102">
        <v>5</v>
      </c>
    </row>
    <row r="103" spans="1:2" x14ac:dyDescent="0.35">
      <c r="A103" t="s">
        <v>126</v>
      </c>
      <c r="B103">
        <v>0</v>
      </c>
    </row>
    <row r="104" spans="1:2" x14ac:dyDescent="0.35">
      <c r="A104" t="s">
        <v>127</v>
      </c>
      <c r="B104">
        <v>0</v>
      </c>
    </row>
    <row r="105" spans="1:2" x14ac:dyDescent="0.35">
      <c r="A105" t="s">
        <v>128</v>
      </c>
      <c r="B105">
        <v>0</v>
      </c>
    </row>
    <row r="106" spans="1:2" x14ac:dyDescent="0.35">
      <c r="A106" t="s">
        <v>129</v>
      </c>
      <c r="B106">
        <v>5</v>
      </c>
    </row>
    <row r="107" spans="1:2" x14ac:dyDescent="0.35">
      <c r="A107" t="s">
        <v>130</v>
      </c>
      <c r="B107">
        <v>5</v>
      </c>
    </row>
    <row r="108" spans="1:2" x14ac:dyDescent="0.35">
      <c r="A108" t="s">
        <v>131</v>
      </c>
      <c r="B108">
        <v>5</v>
      </c>
    </row>
    <row r="109" spans="1:2" x14ac:dyDescent="0.35">
      <c r="A109" t="s">
        <v>132</v>
      </c>
      <c r="B109">
        <v>55</v>
      </c>
    </row>
    <row r="110" spans="1:2" x14ac:dyDescent="0.35">
      <c r="A110" t="s">
        <v>133</v>
      </c>
      <c r="B110">
        <v>0</v>
      </c>
    </row>
    <row r="111" spans="1:2" x14ac:dyDescent="0.35">
      <c r="A111" t="s">
        <v>134</v>
      </c>
      <c r="B111">
        <v>0</v>
      </c>
    </row>
    <row r="112" spans="1:2" x14ac:dyDescent="0.35">
      <c r="A112" t="s">
        <v>135</v>
      </c>
      <c r="B112">
        <v>5</v>
      </c>
    </row>
    <row r="113" spans="1:2" x14ac:dyDescent="0.35">
      <c r="A113" t="s">
        <v>136</v>
      </c>
      <c r="B113">
        <v>5</v>
      </c>
    </row>
    <row r="114" spans="1:2" x14ac:dyDescent="0.35">
      <c r="A114" t="s">
        <v>137</v>
      </c>
      <c r="B114">
        <v>0</v>
      </c>
    </row>
    <row r="115" spans="1:2" x14ac:dyDescent="0.35">
      <c r="A115" t="s">
        <v>138</v>
      </c>
      <c r="B115">
        <v>0</v>
      </c>
    </row>
    <row r="116" spans="1:2" x14ac:dyDescent="0.35">
      <c r="A116" t="s">
        <v>139</v>
      </c>
      <c r="B116">
        <v>10.000000000000568</v>
      </c>
    </row>
    <row r="117" spans="1:2" x14ac:dyDescent="0.35">
      <c r="A117" t="s">
        <v>140</v>
      </c>
      <c r="B117">
        <v>0</v>
      </c>
    </row>
    <row r="118" spans="1:2" x14ac:dyDescent="0.35">
      <c r="A118" t="s">
        <v>141</v>
      </c>
      <c r="B118">
        <v>0</v>
      </c>
    </row>
    <row r="119" spans="1:2" x14ac:dyDescent="0.35">
      <c r="A119" t="s">
        <v>142</v>
      </c>
      <c r="B119">
        <v>5</v>
      </c>
    </row>
    <row r="120" spans="1:2" x14ac:dyDescent="0.35">
      <c r="A120" t="s">
        <v>143</v>
      </c>
      <c r="B120">
        <v>0</v>
      </c>
    </row>
    <row r="121" spans="1:2" x14ac:dyDescent="0.35">
      <c r="A121" t="s">
        <v>144</v>
      </c>
      <c r="B121">
        <v>55</v>
      </c>
    </row>
    <row r="122" spans="1:2" x14ac:dyDescent="0.35">
      <c r="A122" t="s">
        <v>145</v>
      </c>
      <c r="B122">
        <v>5</v>
      </c>
    </row>
    <row r="123" spans="1:2" x14ac:dyDescent="0.35">
      <c r="A123" t="s">
        <v>146</v>
      </c>
      <c r="B123">
        <v>0</v>
      </c>
    </row>
    <row r="124" spans="1:2" x14ac:dyDescent="0.35">
      <c r="A124" t="s">
        <v>147</v>
      </c>
      <c r="B124">
        <v>0</v>
      </c>
    </row>
    <row r="125" spans="1:2" x14ac:dyDescent="0.35">
      <c r="A125" t="s">
        <v>148</v>
      </c>
      <c r="B125">
        <v>0</v>
      </c>
    </row>
    <row r="126" spans="1:2" x14ac:dyDescent="0.35">
      <c r="A126" t="s">
        <v>149</v>
      </c>
      <c r="B126">
        <v>5</v>
      </c>
    </row>
    <row r="127" spans="1:2" x14ac:dyDescent="0.35">
      <c r="A127" t="s">
        <v>150</v>
      </c>
      <c r="B127">
        <v>0</v>
      </c>
    </row>
    <row r="128" spans="1:2" x14ac:dyDescent="0.35">
      <c r="A128" t="s">
        <v>151</v>
      </c>
      <c r="B128">
        <v>0</v>
      </c>
    </row>
    <row r="129" spans="1:2" x14ac:dyDescent="0.35">
      <c r="A129" t="s">
        <v>152</v>
      </c>
      <c r="B129">
        <v>5</v>
      </c>
    </row>
    <row r="130" spans="1:2" x14ac:dyDescent="0.35">
      <c r="A130" t="s">
        <v>153</v>
      </c>
      <c r="B130">
        <v>5</v>
      </c>
    </row>
    <row r="131" spans="1:2" x14ac:dyDescent="0.35">
      <c r="A131" t="s">
        <v>154</v>
      </c>
      <c r="B131">
        <v>55</v>
      </c>
    </row>
    <row r="132" spans="1:2" x14ac:dyDescent="0.35">
      <c r="A132" t="s">
        <v>155</v>
      </c>
      <c r="B132">
        <v>5</v>
      </c>
    </row>
    <row r="133" spans="1:2" x14ac:dyDescent="0.35">
      <c r="A133" t="s">
        <v>156</v>
      </c>
      <c r="B133">
        <v>55</v>
      </c>
    </row>
    <row r="134" spans="1:2" x14ac:dyDescent="0.35">
      <c r="A134" t="s">
        <v>157</v>
      </c>
      <c r="B134">
        <v>0</v>
      </c>
    </row>
    <row r="135" spans="1:2" x14ac:dyDescent="0.35">
      <c r="A135" t="s">
        <v>158</v>
      </c>
      <c r="B135">
        <v>0</v>
      </c>
    </row>
    <row r="136" spans="1:2" x14ac:dyDescent="0.35">
      <c r="A136" t="s">
        <v>159</v>
      </c>
      <c r="B136">
        <v>5</v>
      </c>
    </row>
    <row r="137" spans="1:2" x14ac:dyDescent="0.35">
      <c r="A137" t="s">
        <v>160</v>
      </c>
      <c r="B137">
        <v>5</v>
      </c>
    </row>
    <row r="138" spans="1:2" x14ac:dyDescent="0.35">
      <c r="A138" t="s">
        <v>161</v>
      </c>
      <c r="B138">
        <v>5</v>
      </c>
    </row>
    <row r="139" spans="1:2" x14ac:dyDescent="0.35">
      <c r="A139" t="s">
        <v>162</v>
      </c>
      <c r="B139">
        <v>19.999999999999947</v>
      </c>
    </row>
    <row r="140" spans="1:2" x14ac:dyDescent="0.35">
      <c r="A140" t="s">
        <v>163</v>
      </c>
      <c r="B140">
        <v>0</v>
      </c>
    </row>
    <row r="141" spans="1:2" x14ac:dyDescent="0.35">
      <c r="A141" t="s">
        <v>164</v>
      </c>
      <c r="B141">
        <v>0</v>
      </c>
    </row>
    <row r="142" spans="1:2" x14ac:dyDescent="0.35">
      <c r="A142" t="s">
        <v>165</v>
      </c>
      <c r="B142">
        <v>55</v>
      </c>
    </row>
    <row r="143" spans="1:2" x14ac:dyDescent="0.35">
      <c r="A143" t="s">
        <v>272</v>
      </c>
      <c r="B143">
        <v>55</v>
      </c>
    </row>
    <row r="144" spans="1:2" x14ac:dyDescent="0.35">
      <c r="A144" t="s">
        <v>166</v>
      </c>
      <c r="B144">
        <v>5</v>
      </c>
    </row>
    <row r="145" spans="1:2" x14ac:dyDescent="0.35">
      <c r="A145" t="s">
        <v>167</v>
      </c>
      <c r="B145">
        <v>0</v>
      </c>
    </row>
    <row r="146" spans="1:2" x14ac:dyDescent="0.35">
      <c r="A146" t="s">
        <v>168</v>
      </c>
      <c r="B146">
        <v>5</v>
      </c>
    </row>
    <row r="147" spans="1:2" x14ac:dyDescent="0.35">
      <c r="A147" t="s">
        <v>169</v>
      </c>
      <c r="B147">
        <v>0</v>
      </c>
    </row>
    <row r="148" spans="1:2" x14ac:dyDescent="0.35">
      <c r="A148" t="s">
        <v>170</v>
      </c>
      <c r="B148">
        <v>5</v>
      </c>
    </row>
    <row r="149" spans="1:2" x14ac:dyDescent="0.35">
      <c r="A149" t="s">
        <v>171</v>
      </c>
      <c r="B149">
        <v>5</v>
      </c>
    </row>
    <row r="150" spans="1:2" x14ac:dyDescent="0.35">
      <c r="A150" t="s">
        <v>172</v>
      </c>
      <c r="B150">
        <v>0</v>
      </c>
    </row>
    <row r="151" spans="1:2" x14ac:dyDescent="0.35">
      <c r="A151" t="s">
        <v>173</v>
      </c>
      <c r="B151">
        <v>55</v>
      </c>
    </row>
    <row r="152" spans="1:2" x14ac:dyDescent="0.35">
      <c r="A152" t="s">
        <v>174</v>
      </c>
      <c r="B152">
        <v>5</v>
      </c>
    </row>
    <row r="153" spans="1:2" x14ac:dyDescent="0.35">
      <c r="A153" t="s">
        <v>175</v>
      </c>
      <c r="B153">
        <v>5</v>
      </c>
    </row>
    <row r="154" spans="1:2" x14ac:dyDescent="0.35">
      <c r="A154" t="s">
        <v>176</v>
      </c>
      <c r="B154">
        <v>5</v>
      </c>
    </row>
    <row r="155" spans="1:2" x14ac:dyDescent="0.35">
      <c r="A155" t="s">
        <v>177</v>
      </c>
      <c r="B155">
        <v>5</v>
      </c>
    </row>
    <row r="156" spans="1:2" x14ac:dyDescent="0.35">
      <c r="A156" t="s">
        <v>178</v>
      </c>
      <c r="B156">
        <v>0</v>
      </c>
    </row>
    <row r="157" spans="1:2" x14ac:dyDescent="0.35">
      <c r="A157" t="s">
        <v>179</v>
      </c>
      <c r="B157">
        <v>5</v>
      </c>
    </row>
    <row r="158" spans="1:2" x14ac:dyDescent="0.35">
      <c r="A158" t="s">
        <v>180</v>
      </c>
      <c r="B158">
        <v>0</v>
      </c>
    </row>
    <row r="159" spans="1:2" x14ac:dyDescent="0.35">
      <c r="A159" t="s">
        <v>181</v>
      </c>
      <c r="B159">
        <v>0</v>
      </c>
    </row>
    <row r="160" spans="1:2" x14ac:dyDescent="0.35">
      <c r="A160" t="s">
        <v>87</v>
      </c>
      <c r="B160">
        <v>0</v>
      </c>
    </row>
    <row r="161" spans="1:2" x14ac:dyDescent="0.35">
      <c r="A161" t="s">
        <v>182</v>
      </c>
      <c r="B161">
        <v>55</v>
      </c>
    </row>
    <row r="162" spans="1:2" x14ac:dyDescent="0.35">
      <c r="A162" t="s">
        <v>183</v>
      </c>
      <c r="B162">
        <v>55</v>
      </c>
    </row>
    <row r="163" spans="1:2" x14ac:dyDescent="0.35">
      <c r="A163" t="s">
        <v>184</v>
      </c>
      <c r="B163">
        <v>0</v>
      </c>
    </row>
    <row r="164" spans="1:2" x14ac:dyDescent="0.35">
      <c r="A164" t="s">
        <v>185</v>
      </c>
      <c r="B164">
        <v>0</v>
      </c>
    </row>
    <row r="165" spans="1:2" x14ac:dyDescent="0.35">
      <c r="A165" t="s">
        <v>186</v>
      </c>
      <c r="B165">
        <v>0</v>
      </c>
    </row>
    <row r="166" spans="1:2" x14ac:dyDescent="0.35">
      <c r="A166" t="s">
        <v>187</v>
      </c>
      <c r="B166">
        <v>55</v>
      </c>
    </row>
    <row r="167" spans="1:2" x14ac:dyDescent="0.35">
      <c r="A167" t="s">
        <v>188</v>
      </c>
      <c r="B167">
        <v>5</v>
      </c>
    </row>
    <row r="168" spans="1:2" x14ac:dyDescent="0.35">
      <c r="A168" t="s">
        <v>189</v>
      </c>
      <c r="B168">
        <v>0</v>
      </c>
    </row>
    <row r="169" spans="1:2" x14ac:dyDescent="0.35">
      <c r="A169" t="s">
        <v>190</v>
      </c>
      <c r="B169">
        <v>5</v>
      </c>
    </row>
    <row r="170" spans="1:2" x14ac:dyDescent="0.35">
      <c r="A170" t="s">
        <v>191</v>
      </c>
      <c r="B170">
        <v>0</v>
      </c>
    </row>
    <row r="171" spans="1:2" x14ac:dyDescent="0.35">
      <c r="A171" t="s">
        <v>192</v>
      </c>
      <c r="B171">
        <v>0</v>
      </c>
    </row>
    <row r="172" spans="1:2" x14ac:dyDescent="0.35">
      <c r="A172" t="s">
        <v>193</v>
      </c>
      <c r="B172">
        <v>55</v>
      </c>
    </row>
    <row r="173" spans="1:2" x14ac:dyDescent="0.35">
      <c r="A173" t="s">
        <v>194</v>
      </c>
      <c r="B173">
        <v>0</v>
      </c>
    </row>
    <row r="174" spans="1:2" x14ac:dyDescent="0.35">
      <c r="A174" t="s">
        <v>195</v>
      </c>
      <c r="B174">
        <v>55</v>
      </c>
    </row>
    <row r="175" spans="1:2" x14ac:dyDescent="0.35">
      <c r="A175" t="s">
        <v>196</v>
      </c>
      <c r="B175">
        <v>0</v>
      </c>
    </row>
    <row r="176" spans="1:2" x14ac:dyDescent="0.35">
      <c r="A176" t="s">
        <v>197</v>
      </c>
      <c r="B176">
        <v>5</v>
      </c>
    </row>
    <row r="177" spans="1:2" x14ac:dyDescent="0.35">
      <c r="A177" t="s">
        <v>198</v>
      </c>
      <c r="B177">
        <v>0</v>
      </c>
    </row>
    <row r="178" spans="1:2" x14ac:dyDescent="0.35">
      <c r="A178" t="s">
        <v>199</v>
      </c>
      <c r="B178">
        <v>55</v>
      </c>
    </row>
    <row r="179" spans="1:2" x14ac:dyDescent="0.35">
      <c r="A179" t="s">
        <v>200</v>
      </c>
      <c r="B179">
        <v>55</v>
      </c>
    </row>
    <row r="180" spans="1:2" x14ac:dyDescent="0.35">
      <c r="A180" t="s">
        <v>201</v>
      </c>
      <c r="B180">
        <v>5</v>
      </c>
    </row>
    <row r="181" spans="1:2" x14ac:dyDescent="0.35">
      <c r="A181" t="s">
        <v>202</v>
      </c>
      <c r="B181">
        <v>0</v>
      </c>
    </row>
    <row r="182" spans="1:2" x14ac:dyDescent="0.35">
      <c r="A182" t="s">
        <v>203</v>
      </c>
      <c r="B182">
        <v>55</v>
      </c>
    </row>
    <row r="183" spans="1:2" x14ac:dyDescent="0.35">
      <c r="A183" t="s">
        <v>204</v>
      </c>
      <c r="B183">
        <v>55</v>
      </c>
    </row>
    <row r="184" spans="1:2" x14ac:dyDescent="0.35">
      <c r="A184" t="s">
        <v>205</v>
      </c>
      <c r="B184">
        <v>0</v>
      </c>
    </row>
    <row r="185" spans="1:2" x14ac:dyDescent="0.35">
      <c r="A185" t="s">
        <v>206</v>
      </c>
      <c r="B185">
        <v>0</v>
      </c>
    </row>
    <row r="186" spans="1:2" x14ac:dyDescent="0.35">
      <c r="A186" t="s">
        <v>207</v>
      </c>
      <c r="B186">
        <v>0</v>
      </c>
    </row>
    <row r="187" spans="1:2" x14ac:dyDescent="0.35">
      <c r="A187" t="s">
        <v>208</v>
      </c>
      <c r="B187">
        <v>0</v>
      </c>
    </row>
    <row r="188" spans="1:2" x14ac:dyDescent="0.35">
      <c r="A188" t="s">
        <v>209</v>
      </c>
      <c r="B188">
        <v>5</v>
      </c>
    </row>
    <row r="189" spans="1:2" x14ac:dyDescent="0.35">
      <c r="A189" t="s">
        <v>210</v>
      </c>
      <c r="B189">
        <v>5</v>
      </c>
    </row>
    <row r="190" spans="1:2" x14ac:dyDescent="0.35">
      <c r="A190" t="s">
        <v>211</v>
      </c>
      <c r="B190">
        <v>0</v>
      </c>
    </row>
    <row r="191" spans="1:2" x14ac:dyDescent="0.35">
      <c r="A191" t="s">
        <v>212</v>
      </c>
      <c r="B191">
        <v>0</v>
      </c>
    </row>
    <row r="192" spans="1:2" x14ac:dyDescent="0.35">
      <c r="A192" t="s">
        <v>213</v>
      </c>
      <c r="B192">
        <v>0</v>
      </c>
    </row>
    <row r="193" spans="1:2" x14ac:dyDescent="0.35">
      <c r="A193" t="s">
        <v>214</v>
      </c>
      <c r="B193">
        <v>0</v>
      </c>
    </row>
    <row r="194" spans="1:2" x14ac:dyDescent="0.35">
      <c r="A194" t="s">
        <v>215</v>
      </c>
      <c r="B194">
        <v>0</v>
      </c>
    </row>
    <row r="195" spans="1:2" x14ac:dyDescent="0.35">
      <c r="A195" t="s">
        <v>216</v>
      </c>
      <c r="B195">
        <v>0</v>
      </c>
    </row>
    <row r="196" spans="1:2" x14ac:dyDescent="0.35">
      <c r="A196" t="s">
        <v>217</v>
      </c>
      <c r="B196">
        <v>5</v>
      </c>
    </row>
    <row r="197" spans="1:2" x14ac:dyDescent="0.35">
      <c r="A197" t="s">
        <v>218</v>
      </c>
      <c r="B197">
        <v>55</v>
      </c>
    </row>
    <row r="198" spans="1:2" x14ac:dyDescent="0.35">
      <c r="A198" t="s">
        <v>219</v>
      </c>
      <c r="B198">
        <v>55</v>
      </c>
    </row>
    <row r="199" spans="1:2" x14ac:dyDescent="0.35">
      <c r="A199" t="s">
        <v>220</v>
      </c>
      <c r="B199">
        <v>5</v>
      </c>
    </row>
    <row r="200" spans="1:2" x14ac:dyDescent="0.35">
      <c r="A200" t="s">
        <v>221</v>
      </c>
      <c r="B200">
        <v>0</v>
      </c>
    </row>
    <row r="201" spans="1:2" x14ac:dyDescent="0.35">
      <c r="A201" t="s">
        <v>222</v>
      </c>
      <c r="B201">
        <v>5</v>
      </c>
    </row>
    <row r="202" spans="1:2" x14ac:dyDescent="0.35">
      <c r="A202" t="s">
        <v>223</v>
      </c>
      <c r="B202">
        <v>0</v>
      </c>
    </row>
    <row r="203" spans="1:2" x14ac:dyDescent="0.35">
      <c r="A203" t="s">
        <v>224</v>
      </c>
      <c r="B203">
        <v>0</v>
      </c>
    </row>
    <row r="204" spans="1:2" x14ac:dyDescent="0.35">
      <c r="A204" t="s">
        <v>225</v>
      </c>
      <c r="B204">
        <v>55</v>
      </c>
    </row>
    <row r="205" spans="1:2" x14ac:dyDescent="0.35">
      <c r="A205" t="s">
        <v>226</v>
      </c>
      <c r="B205">
        <v>0</v>
      </c>
    </row>
    <row r="206" spans="1:2" x14ac:dyDescent="0.35">
      <c r="A206" t="s">
        <v>227</v>
      </c>
      <c r="B206">
        <v>0</v>
      </c>
    </row>
    <row r="207" spans="1:2" x14ac:dyDescent="0.35">
      <c r="A207" t="s">
        <v>228</v>
      </c>
      <c r="B207">
        <v>0</v>
      </c>
    </row>
    <row r="208" spans="1:2" x14ac:dyDescent="0.35">
      <c r="A208" t="s">
        <v>229</v>
      </c>
      <c r="B208">
        <v>0</v>
      </c>
    </row>
    <row r="209" spans="1:2" x14ac:dyDescent="0.35">
      <c r="A209" t="s">
        <v>230</v>
      </c>
      <c r="B209">
        <v>54.9999999999986</v>
      </c>
    </row>
    <row r="210" spans="1:2" x14ac:dyDescent="0.35">
      <c r="A210" t="s">
        <v>231</v>
      </c>
      <c r="B210">
        <v>0</v>
      </c>
    </row>
    <row r="211" spans="1:2" x14ac:dyDescent="0.35">
      <c r="A211" t="s">
        <v>232</v>
      </c>
      <c r="B211">
        <v>55</v>
      </c>
    </row>
    <row r="212" spans="1:2" x14ac:dyDescent="0.35">
      <c r="A212" t="s">
        <v>233</v>
      </c>
      <c r="B212">
        <v>0</v>
      </c>
    </row>
    <row r="213" spans="1:2" x14ac:dyDescent="0.35">
      <c r="A213" t="s">
        <v>234</v>
      </c>
      <c r="B213">
        <v>5</v>
      </c>
    </row>
    <row r="214" spans="1:2" x14ac:dyDescent="0.35">
      <c r="A214" t="s">
        <v>235</v>
      </c>
      <c r="B214">
        <v>0</v>
      </c>
    </row>
    <row r="215" spans="1:2" x14ac:dyDescent="0.35">
      <c r="A215" t="s">
        <v>236</v>
      </c>
      <c r="B215">
        <v>0</v>
      </c>
    </row>
    <row r="216" spans="1:2" x14ac:dyDescent="0.35">
      <c r="A216" t="s">
        <v>237</v>
      </c>
      <c r="B216">
        <v>5</v>
      </c>
    </row>
    <row r="217" spans="1:2" x14ac:dyDescent="0.35">
      <c r="A217" t="s">
        <v>238</v>
      </c>
      <c r="B217">
        <v>0</v>
      </c>
    </row>
    <row r="218" spans="1:2" x14ac:dyDescent="0.35">
      <c r="A218" t="s">
        <v>239</v>
      </c>
      <c r="B218">
        <v>5</v>
      </c>
    </row>
    <row r="219" spans="1:2" x14ac:dyDescent="0.35">
      <c r="A219" t="s">
        <v>240</v>
      </c>
      <c r="B219">
        <v>0</v>
      </c>
    </row>
    <row r="220" spans="1:2" x14ac:dyDescent="0.35">
      <c r="A220" t="s">
        <v>241</v>
      </c>
      <c r="B220">
        <v>0</v>
      </c>
    </row>
    <row r="221" spans="1:2" x14ac:dyDescent="0.35">
      <c r="A221" t="s">
        <v>242</v>
      </c>
      <c r="B221">
        <v>5</v>
      </c>
    </row>
    <row r="222" spans="1:2" x14ac:dyDescent="0.35">
      <c r="A222" t="s">
        <v>243</v>
      </c>
      <c r="B222">
        <v>5</v>
      </c>
    </row>
    <row r="223" spans="1:2" x14ac:dyDescent="0.35">
      <c r="A223" t="s">
        <v>244</v>
      </c>
      <c r="B223">
        <v>0</v>
      </c>
    </row>
    <row r="224" spans="1:2" x14ac:dyDescent="0.35">
      <c r="A224" t="s">
        <v>245</v>
      </c>
      <c r="B224">
        <v>0</v>
      </c>
    </row>
    <row r="225" spans="1:2" x14ac:dyDescent="0.35">
      <c r="A225" t="s">
        <v>34</v>
      </c>
      <c r="B225">
        <v>0</v>
      </c>
    </row>
    <row r="226" spans="1:2" x14ac:dyDescent="0.35">
      <c r="A226" t="s">
        <v>246</v>
      </c>
      <c r="B226">
        <v>0</v>
      </c>
    </row>
    <row r="227" spans="1:2" x14ac:dyDescent="0.35">
      <c r="A227" t="s">
        <v>247</v>
      </c>
      <c r="B227">
        <v>0</v>
      </c>
    </row>
    <row r="228" spans="1:2" x14ac:dyDescent="0.35">
      <c r="A228" t="s">
        <v>248</v>
      </c>
      <c r="B228">
        <v>0</v>
      </c>
    </row>
    <row r="229" spans="1:2" x14ac:dyDescent="0.35">
      <c r="A229" t="s">
        <v>249</v>
      </c>
      <c r="B229">
        <v>6</v>
      </c>
    </row>
    <row r="230" spans="1:2" x14ac:dyDescent="0.35">
      <c r="A230" t="s">
        <v>250</v>
      </c>
      <c r="B230">
        <v>0</v>
      </c>
    </row>
    <row r="231" spans="1:2" x14ac:dyDescent="0.35">
      <c r="A231" t="s">
        <v>251</v>
      </c>
      <c r="B231">
        <v>55</v>
      </c>
    </row>
    <row r="232" spans="1:2" x14ac:dyDescent="0.35">
      <c r="A232" t="s">
        <v>252</v>
      </c>
      <c r="B232">
        <v>55</v>
      </c>
    </row>
    <row r="233" spans="1:2" x14ac:dyDescent="0.35">
      <c r="A233" t="s">
        <v>253</v>
      </c>
      <c r="B233">
        <v>0</v>
      </c>
    </row>
    <row r="234" spans="1:2" x14ac:dyDescent="0.35">
      <c r="A234" t="s">
        <v>254</v>
      </c>
      <c r="B234">
        <v>0</v>
      </c>
    </row>
    <row r="235" spans="1:2" x14ac:dyDescent="0.35">
      <c r="A235" t="s">
        <v>255</v>
      </c>
      <c r="B235">
        <v>0</v>
      </c>
    </row>
    <row r="236" spans="1:2" x14ac:dyDescent="0.35">
      <c r="A236" t="s">
        <v>256</v>
      </c>
      <c r="B236">
        <v>55</v>
      </c>
    </row>
    <row r="237" spans="1:2" x14ac:dyDescent="0.35">
      <c r="A237" t="s">
        <v>257</v>
      </c>
      <c r="B237">
        <v>0</v>
      </c>
    </row>
    <row r="238" spans="1:2" x14ac:dyDescent="0.35">
      <c r="A238" t="s">
        <v>258</v>
      </c>
      <c r="B238">
        <v>55</v>
      </c>
    </row>
    <row r="239" spans="1:2" x14ac:dyDescent="0.35">
      <c r="A239" t="s">
        <v>259</v>
      </c>
      <c r="B239">
        <v>55</v>
      </c>
    </row>
    <row r="240" spans="1:2" x14ac:dyDescent="0.35">
      <c r="A240" t="s">
        <v>260</v>
      </c>
      <c r="B240">
        <v>55</v>
      </c>
    </row>
    <row r="241" spans="1:2" x14ac:dyDescent="0.35">
      <c r="A241" t="s">
        <v>261</v>
      </c>
      <c r="B241">
        <v>55</v>
      </c>
    </row>
    <row r="242" spans="1:2" x14ac:dyDescent="0.35">
      <c r="A242" t="s">
        <v>262</v>
      </c>
      <c r="B242">
        <v>0</v>
      </c>
    </row>
    <row r="243" spans="1:2" x14ac:dyDescent="0.35">
      <c r="A243" t="s">
        <v>263</v>
      </c>
      <c r="B243">
        <v>0</v>
      </c>
    </row>
    <row r="244" spans="1:2" x14ac:dyDescent="0.35">
      <c r="A244" t="s">
        <v>264</v>
      </c>
      <c r="B244">
        <v>0</v>
      </c>
    </row>
    <row r="245" spans="1:2" x14ac:dyDescent="0.35">
      <c r="A245" t="s">
        <v>265</v>
      </c>
      <c r="B245">
        <v>5</v>
      </c>
    </row>
    <row r="246" spans="1:2" x14ac:dyDescent="0.35">
      <c r="A246" t="s">
        <v>266</v>
      </c>
      <c r="B246">
        <v>0</v>
      </c>
    </row>
    <row r="247" spans="1:2" x14ac:dyDescent="0.35">
      <c r="A247" t="s">
        <v>267</v>
      </c>
      <c r="B247">
        <v>0</v>
      </c>
    </row>
    <row r="248" spans="1:2" x14ac:dyDescent="0.35">
      <c r="A248" t="s">
        <v>268</v>
      </c>
      <c r="B248">
        <v>55</v>
      </c>
    </row>
    <row r="249" spans="1:2" x14ac:dyDescent="0.35">
      <c r="A249" t="s">
        <v>269</v>
      </c>
      <c r="B249">
        <v>5</v>
      </c>
    </row>
    <row r="250" spans="1:2" x14ac:dyDescent="0.35">
      <c r="A250" t="s">
        <v>270</v>
      </c>
      <c r="B250">
        <v>5</v>
      </c>
    </row>
    <row r="251" spans="1:2" x14ac:dyDescent="0.35">
      <c r="A251" t="s">
        <v>271</v>
      </c>
      <c r="B251">
        <v>5</v>
      </c>
    </row>
  </sheetData>
  <phoneticPr fontId="2" type="noConversion"/>
  <pageMargins left="0.7" right="0.7" top="0.75" bottom="0.75" header="0.3" footer="0.3"/>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70AF5-017C-441F-95A7-6C676D620E3C}">
  <dimension ref="A1:D161"/>
  <sheetViews>
    <sheetView topLeftCell="A78" workbookViewId="0">
      <selection activeCell="F102" sqref="F102"/>
    </sheetView>
  </sheetViews>
  <sheetFormatPr defaultRowHeight="14.5" x14ac:dyDescent="0.35"/>
  <cols>
    <col min="1" max="1" width="30.54296875" bestFit="1" customWidth="1"/>
  </cols>
  <sheetData>
    <row r="1" spans="1:4" ht="29" x14ac:dyDescent="0.35">
      <c r="A1" s="1" t="s">
        <v>0</v>
      </c>
      <c r="B1" s="1" t="s">
        <v>24</v>
      </c>
      <c r="C1" s="1" t="s">
        <v>2</v>
      </c>
      <c r="D1" s="1" t="s">
        <v>21</v>
      </c>
    </row>
    <row r="2" spans="1:4" x14ac:dyDescent="0.35">
      <c r="A2" t="str">
        <f>'Bike Stations'!A$2</f>
        <v>Rosefield Intersection</v>
      </c>
      <c r="C2" t="s">
        <v>5</v>
      </c>
      <c r="D2">
        <f>'Maintenance Activities'!$B$2</f>
        <v>10</v>
      </c>
    </row>
    <row r="3" spans="1:4" x14ac:dyDescent="0.35">
      <c r="A3" t="str">
        <f>'Bike Stations'!A$2</f>
        <v>Rosefield Intersection</v>
      </c>
      <c r="C3" t="s">
        <v>6</v>
      </c>
      <c r="D3">
        <f>'Maintenance Activities'!$B$3</f>
        <v>30</v>
      </c>
    </row>
    <row r="4" spans="1:4" x14ac:dyDescent="0.35">
      <c r="A4" t="str">
        <f>'Bike Stations'!A$2</f>
        <v>Rosefield Intersection</v>
      </c>
      <c r="C4" t="s">
        <v>7</v>
      </c>
      <c r="D4">
        <f>'Maintenance Activities'!$B$4</f>
        <v>60</v>
      </c>
    </row>
    <row r="5" spans="1:4" x14ac:dyDescent="0.35">
      <c r="A5" t="str">
        <f>'Bike Stations'!A$2</f>
        <v>Rosefield Intersection</v>
      </c>
      <c r="C5" t="s">
        <v>8</v>
      </c>
      <c r="D5">
        <f>'Maintenance Activities'!$B$5</f>
        <v>120</v>
      </c>
    </row>
    <row r="6" spans="1:4" x14ac:dyDescent="0.35">
      <c r="A6" t="str">
        <f>'Bike Stations'!A$3</f>
        <v>Saughton Road North</v>
      </c>
      <c r="C6" t="s">
        <v>5</v>
      </c>
      <c r="D6">
        <f>'Maintenance Activities'!$B$2</f>
        <v>10</v>
      </c>
    </row>
    <row r="7" spans="1:4" x14ac:dyDescent="0.35">
      <c r="A7" t="str">
        <f>'Bike Stations'!A$3</f>
        <v>Saughton Road North</v>
      </c>
      <c r="C7" t="s">
        <v>6</v>
      </c>
      <c r="D7">
        <f>'Maintenance Activities'!$B$3</f>
        <v>30</v>
      </c>
    </row>
    <row r="8" spans="1:4" x14ac:dyDescent="0.35">
      <c r="A8" t="str">
        <f>'Bike Stations'!A$3</f>
        <v>Saughton Road North</v>
      </c>
      <c r="C8" t="s">
        <v>7</v>
      </c>
      <c r="D8">
        <f>'Maintenance Activities'!$B$4</f>
        <v>60</v>
      </c>
    </row>
    <row r="9" spans="1:4" x14ac:dyDescent="0.35">
      <c r="A9" t="str">
        <f>'Bike Stations'!A$3</f>
        <v>Saughton Road North</v>
      </c>
      <c r="C9" t="s">
        <v>8</v>
      </c>
      <c r="D9">
        <f>'Maintenance Activities'!$B$5</f>
        <v>120</v>
      </c>
    </row>
    <row r="10" spans="1:4" x14ac:dyDescent="0.35">
      <c r="A10" t="str">
        <f>'Bike Stations'!A$4</f>
        <v>Willaim Street-NW-SW</v>
      </c>
      <c r="C10" t="s">
        <v>5</v>
      </c>
      <c r="D10">
        <f>'Maintenance Activities'!$B$2</f>
        <v>10</v>
      </c>
    </row>
    <row r="11" spans="1:4" x14ac:dyDescent="0.35">
      <c r="A11" t="str">
        <f>'Bike Stations'!A$4</f>
        <v>Willaim Street-NW-SW</v>
      </c>
      <c r="C11" t="s">
        <v>6</v>
      </c>
      <c r="D11">
        <f>'Maintenance Activities'!$B$3</f>
        <v>30</v>
      </c>
    </row>
    <row r="12" spans="1:4" x14ac:dyDescent="0.35">
      <c r="A12" t="str">
        <f>'Bike Stations'!A$4</f>
        <v>Willaim Street-NW-SW</v>
      </c>
      <c r="C12" t="s">
        <v>7</v>
      </c>
      <c r="D12">
        <f>'Maintenance Activities'!$B$4</f>
        <v>60</v>
      </c>
    </row>
    <row r="13" spans="1:4" x14ac:dyDescent="0.35">
      <c r="A13" t="str">
        <f>'Bike Stations'!A$4</f>
        <v>Willaim Street-NW-SW</v>
      </c>
      <c r="C13" t="s">
        <v>8</v>
      </c>
      <c r="D13">
        <f>'Maintenance Activities'!$B$5</f>
        <v>120</v>
      </c>
    </row>
    <row r="14" spans="1:4" x14ac:dyDescent="0.35">
      <c r="A14" t="str">
        <f>'Bike Stations'!A$5</f>
        <v>Rankin Road</v>
      </c>
      <c r="C14" t="s">
        <v>5</v>
      </c>
      <c r="D14">
        <f>'Maintenance Activities'!$B$2</f>
        <v>10</v>
      </c>
    </row>
    <row r="15" spans="1:4" x14ac:dyDescent="0.35">
      <c r="A15" t="str">
        <f>'Bike Stations'!A$5</f>
        <v>Rankin Road</v>
      </c>
      <c r="C15" t="s">
        <v>6</v>
      </c>
      <c r="D15">
        <f>'Maintenance Activities'!$B$3</f>
        <v>30</v>
      </c>
    </row>
    <row r="16" spans="1:4" x14ac:dyDescent="0.35">
      <c r="A16" t="str">
        <f>'Bike Stations'!A$5</f>
        <v>Rankin Road</v>
      </c>
      <c r="C16" t="s">
        <v>7</v>
      </c>
      <c r="D16">
        <f>'Maintenance Activities'!$B$4</f>
        <v>60</v>
      </c>
    </row>
    <row r="17" spans="1:4" x14ac:dyDescent="0.35">
      <c r="A17" t="str">
        <f>'Bike Stations'!A$5</f>
        <v>Rankin Road</v>
      </c>
      <c r="C17" t="s">
        <v>8</v>
      </c>
      <c r="D17">
        <f>'Maintenance Activities'!$B$5</f>
        <v>120</v>
      </c>
    </row>
    <row r="18" spans="1:4" x14ac:dyDescent="0.35">
      <c r="A18" t="str">
        <f>'Bike Stations'!A$6</f>
        <v>Woodburn Street</v>
      </c>
      <c r="C18" t="s">
        <v>5</v>
      </c>
      <c r="D18">
        <f>'Maintenance Activities'!$B$2</f>
        <v>10</v>
      </c>
    </row>
    <row r="19" spans="1:4" x14ac:dyDescent="0.35">
      <c r="A19" t="str">
        <f>'Bike Stations'!A$6</f>
        <v>Woodburn Street</v>
      </c>
      <c r="C19" t="s">
        <v>6</v>
      </c>
      <c r="D19">
        <f>'Maintenance Activities'!$B$3</f>
        <v>30</v>
      </c>
    </row>
    <row r="20" spans="1:4" x14ac:dyDescent="0.35">
      <c r="A20" t="str">
        <f>'Bike Stations'!A$6</f>
        <v>Woodburn Street</v>
      </c>
      <c r="C20" t="s">
        <v>7</v>
      </c>
      <c r="D20">
        <f>'Maintenance Activities'!$B$4</f>
        <v>60</v>
      </c>
    </row>
    <row r="21" spans="1:4" x14ac:dyDescent="0.35">
      <c r="A21" t="str">
        <f>'Bike Stations'!A$6</f>
        <v>Woodburn Street</v>
      </c>
      <c r="C21" t="s">
        <v>8</v>
      </c>
      <c r="D21">
        <f>'Maintenance Activities'!$B$5</f>
        <v>120</v>
      </c>
    </row>
    <row r="22" spans="1:4" x14ac:dyDescent="0.35">
      <c r="A22" t="str">
        <f>'Bike Stations'!A$7</f>
        <v>Greenbank Row-Road</v>
      </c>
      <c r="C22" t="s">
        <v>5</v>
      </c>
      <c r="D22">
        <f>'Maintenance Activities'!$B$2</f>
        <v>10</v>
      </c>
    </row>
    <row r="23" spans="1:4" x14ac:dyDescent="0.35">
      <c r="A23" t="str">
        <f>'Bike Stations'!A$7</f>
        <v>Greenbank Row-Road</v>
      </c>
      <c r="C23" t="s">
        <v>6</v>
      </c>
      <c r="D23">
        <f>'Maintenance Activities'!$B$3</f>
        <v>30</v>
      </c>
    </row>
    <row r="24" spans="1:4" x14ac:dyDescent="0.35">
      <c r="A24" t="str">
        <f>'Bike Stations'!A$7</f>
        <v>Greenbank Row-Road</v>
      </c>
      <c r="C24" t="s">
        <v>7</v>
      </c>
      <c r="D24">
        <f>'Maintenance Activities'!$B$4</f>
        <v>60</v>
      </c>
    </row>
    <row r="25" spans="1:4" x14ac:dyDescent="0.35">
      <c r="A25" t="str">
        <f>'Bike Stations'!A$7</f>
        <v>Greenbank Row-Road</v>
      </c>
      <c r="C25" t="s">
        <v>8</v>
      </c>
      <c r="D25">
        <f>'Maintenance Activities'!$B$5</f>
        <v>120</v>
      </c>
    </row>
    <row r="26" spans="1:4" x14ac:dyDescent="0.35">
      <c r="A26" t="str">
        <f>'Bike Stations'!A$8</f>
        <v>Tolbooth Wynd</v>
      </c>
      <c r="C26" t="s">
        <v>5</v>
      </c>
      <c r="D26">
        <f>'Maintenance Activities'!$B$2</f>
        <v>10</v>
      </c>
    </row>
    <row r="27" spans="1:4" x14ac:dyDescent="0.35">
      <c r="A27" t="str">
        <f>'Bike Stations'!A$8</f>
        <v>Tolbooth Wynd</v>
      </c>
      <c r="C27" t="s">
        <v>6</v>
      </c>
      <c r="D27">
        <f>'Maintenance Activities'!$B$3</f>
        <v>30</v>
      </c>
    </row>
    <row r="28" spans="1:4" x14ac:dyDescent="0.35">
      <c r="A28" t="str">
        <f>'Bike Stations'!A$8</f>
        <v>Tolbooth Wynd</v>
      </c>
      <c r="C28" t="s">
        <v>7</v>
      </c>
      <c r="D28">
        <f>'Maintenance Activities'!$B$4</f>
        <v>60</v>
      </c>
    </row>
    <row r="29" spans="1:4" x14ac:dyDescent="0.35">
      <c r="A29" t="str">
        <f>'Bike Stations'!A$8</f>
        <v>Tolbooth Wynd</v>
      </c>
      <c r="C29" t="s">
        <v>8</v>
      </c>
      <c r="D29">
        <f>'Maintenance Activities'!$B$5</f>
        <v>120</v>
      </c>
    </row>
    <row r="30" spans="1:4" x14ac:dyDescent="0.35">
      <c r="A30" t="str">
        <f>'Bike Stations'!A$9</f>
        <v>Newmills Crescent</v>
      </c>
      <c r="C30" t="s">
        <v>5</v>
      </c>
      <c r="D30">
        <f>'Maintenance Activities'!$B$2</f>
        <v>10</v>
      </c>
    </row>
    <row r="31" spans="1:4" x14ac:dyDescent="0.35">
      <c r="A31" t="str">
        <f>'Bike Stations'!A$9</f>
        <v>Newmills Crescent</v>
      </c>
      <c r="C31" t="s">
        <v>6</v>
      </c>
      <c r="D31">
        <f>'Maintenance Activities'!$B$3</f>
        <v>30</v>
      </c>
    </row>
    <row r="32" spans="1:4" x14ac:dyDescent="0.35">
      <c r="A32" t="str">
        <f>'Bike Stations'!A$9</f>
        <v>Newmills Crescent</v>
      </c>
      <c r="C32" t="s">
        <v>7</v>
      </c>
      <c r="D32">
        <f>'Maintenance Activities'!$B$4</f>
        <v>60</v>
      </c>
    </row>
    <row r="33" spans="1:4" x14ac:dyDescent="0.35">
      <c r="A33" t="str">
        <f>'Bike Stations'!A$9</f>
        <v>Newmills Crescent</v>
      </c>
      <c r="C33" t="s">
        <v>8</v>
      </c>
      <c r="D33">
        <f>'Maintenance Activities'!$B$5</f>
        <v>120</v>
      </c>
    </row>
    <row r="34" spans="1:4" x14ac:dyDescent="0.35">
      <c r="A34" t="str">
        <f>'Bike Stations'!A$10</f>
        <v>Chapelhill Road</v>
      </c>
      <c r="C34" t="s">
        <v>5</v>
      </c>
      <c r="D34">
        <f>'Maintenance Activities'!$B$2</f>
        <v>10</v>
      </c>
    </row>
    <row r="35" spans="1:4" x14ac:dyDescent="0.35">
      <c r="A35" t="str">
        <f>'Bike Stations'!A$10</f>
        <v>Chapelhill Road</v>
      </c>
      <c r="C35" t="s">
        <v>6</v>
      </c>
      <c r="D35">
        <f>'Maintenance Activities'!$B$3</f>
        <v>30</v>
      </c>
    </row>
    <row r="36" spans="1:4" x14ac:dyDescent="0.35">
      <c r="A36" t="str">
        <f>'Bike Stations'!A$10</f>
        <v>Chapelhill Road</v>
      </c>
      <c r="C36" t="s">
        <v>7</v>
      </c>
      <c r="D36">
        <f>'Maintenance Activities'!$B$4</f>
        <v>60</v>
      </c>
    </row>
    <row r="37" spans="1:4" x14ac:dyDescent="0.35">
      <c r="A37" t="str">
        <f>'Bike Stations'!A$10</f>
        <v>Chapelhill Road</v>
      </c>
      <c r="C37" t="s">
        <v>8</v>
      </c>
      <c r="D37">
        <f>'Maintenance Activities'!$B$5</f>
        <v>120</v>
      </c>
    </row>
    <row r="38" spans="1:4" x14ac:dyDescent="0.35">
      <c r="A38" t="str">
        <f>'Bike Stations'!A$11</f>
        <v>Seafield Road</v>
      </c>
      <c r="C38" t="s">
        <v>5</v>
      </c>
      <c r="D38">
        <f>'Maintenance Activities'!$B$2</f>
        <v>10</v>
      </c>
    </row>
    <row r="39" spans="1:4" x14ac:dyDescent="0.35">
      <c r="A39" t="str">
        <f>'Bike Stations'!A$11</f>
        <v>Seafield Road</v>
      </c>
      <c r="C39" t="s">
        <v>6</v>
      </c>
      <c r="D39">
        <f>'Maintenance Activities'!$B$3</f>
        <v>30</v>
      </c>
    </row>
    <row r="40" spans="1:4" x14ac:dyDescent="0.35">
      <c r="A40" t="str">
        <f>'Bike Stations'!A$11</f>
        <v>Seafield Road</v>
      </c>
      <c r="C40" t="s">
        <v>7</v>
      </c>
      <c r="D40">
        <f>'Maintenance Activities'!$B$4</f>
        <v>60</v>
      </c>
    </row>
    <row r="41" spans="1:4" x14ac:dyDescent="0.35">
      <c r="A41" t="str">
        <f>'Bike Stations'!A$11</f>
        <v>Seafield Road</v>
      </c>
      <c r="C41" t="s">
        <v>8</v>
      </c>
      <c r="D41">
        <f>'Maintenance Activities'!$B$5</f>
        <v>120</v>
      </c>
    </row>
    <row r="42" spans="1:4" x14ac:dyDescent="0.35">
      <c r="A42" t="str">
        <f>'Bike Stations'!A$12</f>
        <v>West Holmes Gardens</v>
      </c>
      <c r="C42" t="s">
        <v>5</v>
      </c>
      <c r="D42">
        <f>'Maintenance Activities'!$B$2</f>
        <v>10</v>
      </c>
    </row>
    <row r="43" spans="1:4" x14ac:dyDescent="0.35">
      <c r="A43" t="str">
        <f>'Bike Stations'!A$12</f>
        <v>West Holmes Gardens</v>
      </c>
      <c r="C43" t="s">
        <v>6</v>
      </c>
      <c r="D43">
        <f>'Maintenance Activities'!$B$3</f>
        <v>30</v>
      </c>
    </row>
    <row r="44" spans="1:4" x14ac:dyDescent="0.35">
      <c r="A44" t="str">
        <f>'Bike Stations'!A$12</f>
        <v>West Holmes Gardens</v>
      </c>
      <c r="C44" t="s">
        <v>7</v>
      </c>
      <c r="D44">
        <f>'Maintenance Activities'!$B$4</f>
        <v>60</v>
      </c>
    </row>
    <row r="45" spans="1:4" x14ac:dyDescent="0.35">
      <c r="A45" t="str">
        <f>'Bike Stations'!A$12</f>
        <v>West Holmes Gardens</v>
      </c>
      <c r="C45" t="s">
        <v>8</v>
      </c>
      <c r="D45">
        <f>'Maintenance Activities'!$B$5</f>
        <v>120</v>
      </c>
    </row>
    <row r="46" spans="1:4" x14ac:dyDescent="0.35">
      <c r="A46" t="str">
        <f>'Bike Stations'!A$13</f>
        <v>Dalhousie Avenue</v>
      </c>
      <c r="C46" t="s">
        <v>5</v>
      </c>
      <c r="D46">
        <f>'Maintenance Activities'!$B$2</f>
        <v>10</v>
      </c>
    </row>
    <row r="47" spans="1:4" x14ac:dyDescent="0.35">
      <c r="A47" t="str">
        <f>'Bike Stations'!A$13</f>
        <v>Dalhousie Avenue</v>
      </c>
      <c r="C47" t="s">
        <v>6</v>
      </c>
      <c r="D47">
        <f>'Maintenance Activities'!$B$3</f>
        <v>30</v>
      </c>
    </row>
    <row r="48" spans="1:4" x14ac:dyDescent="0.35">
      <c r="A48" t="str">
        <f>'Bike Stations'!A$13</f>
        <v>Dalhousie Avenue</v>
      </c>
      <c r="C48" t="s">
        <v>7</v>
      </c>
      <c r="D48">
        <f>'Maintenance Activities'!$B$4</f>
        <v>60</v>
      </c>
    </row>
    <row r="49" spans="1:4" x14ac:dyDescent="0.35">
      <c r="A49" t="str">
        <f>'Bike Stations'!A$13</f>
        <v>Dalhousie Avenue</v>
      </c>
      <c r="C49" t="s">
        <v>8</v>
      </c>
      <c r="D49">
        <f>'Maintenance Activities'!$B$5</f>
        <v>120</v>
      </c>
    </row>
    <row r="50" spans="1:4" x14ac:dyDescent="0.35">
      <c r="A50" t="str">
        <f>'Bike Stations'!A$14</f>
        <v>Craigcrook Square</v>
      </c>
      <c r="C50" t="s">
        <v>5</v>
      </c>
      <c r="D50">
        <f>'Maintenance Activities'!$B$2</f>
        <v>10</v>
      </c>
    </row>
    <row r="51" spans="1:4" x14ac:dyDescent="0.35">
      <c r="A51" t="str">
        <f>'Bike Stations'!A$14</f>
        <v>Craigcrook Square</v>
      </c>
      <c r="C51" t="s">
        <v>6</v>
      </c>
      <c r="D51">
        <f>'Maintenance Activities'!$B$3</f>
        <v>30</v>
      </c>
    </row>
    <row r="52" spans="1:4" x14ac:dyDescent="0.35">
      <c r="A52" t="str">
        <f>'Bike Stations'!A$14</f>
        <v>Craigcrook Square</v>
      </c>
      <c r="C52" t="s">
        <v>7</v>
      </c>
      <c r="D52">
        <f>'Maintenance Activities'!$B$4</f>
        <v>60</v>
      </c>
    </row>
    <row r="53" spans="1:4" x14ac:dyDescent="0.35">
      <c r="A53" t="str">
        <f>'Bike Stations'!A$14</f>
        <v>Craigcrook Square</v>
      </c>
      <c r="C53" t="s">
        <v>8</v>
      </c>
      <c r="D53">
        <f>'Maintenance Activities'!$B$5</f>
        <v>120</v>
      </c>
    </row>
    <row r="54" spans="1:4" x14ac:dyDescent="0.35">
      <c r="A54" t="str">
        <f>'Bike Stations'!A$15</f>
        <v>Liberton Place</v>
      </c>
      <c r="C54" t="s">
        <v>5</v>
      </c>
      <c r="D54">
        <f>'Maintenance Activities'!$B$2</f>
        <v>10</v>
      </c>
    </row>
    <row r="55" spans="1:4" x14ac:dyDescent="0.35">
      <c r="A55" t="str">
        <f>'Bike Stations'!A$15</f>
        <v>Liberton Place</v>
      </c>
      <c r="C55" t="s">
        <v>6</v>
      </c>
      <c r="D55">
        <f>'Maintenance Activities'!$B$3</f>
        <v>30</v>
      </c>
    </row>
    <row r="56" spans="1:4" x14ac:dyDescent="0.35">
      <c r="A56" t="str">
        <f>'Bike Stations'!A$15</f>
        <v>Liberton Place</v>
      </c>
      <c r="C56" t="s">
        <v>7</v>
      </c>
      <c r="D56">
        <f>'Maintenance Activities'!$B$4</f>
        <v>60</v>
      </c>
    </row>
    <row r="57" spans="1:4" x14ac:dyDescent="0.35">
      <c r="A57" t="str">
        <f>'Bike Stations'!A$15</f>
        <v>Liberton Place</v>
      </c>
      <c r="C57" t="s">
        <v>8</v>
      </c>
      <c r="D57">
        <f>'Maintenance Activities'!$B$5</f>
        <v>120</v>
      </c>
    </row>
    <row r="58" spans="1:4" x14ac:dyDescent="0.35">
      <c r="A58" t="str">
        <f>'Bike Stations'!A$16</f>
        <v>Craiglockheart Road North</v>
      </c>
      <c r="C58" t="s">
        <v>5</v>
      </c>
      <c r="D58">
        <f>'Maintenance Activities'!$B$2</f>
        <v>10</v>
      </c>
    </row>
    <row r="59" spans="1:4" x14ac:dyDescent="0.35">
      <c r="A59" t="str">
        <f>'Bike Stations'!A$16</f>
        <v>Craiglockheart Road North</v>
      </c>
      <c r="C59" t="s">
        <v>6</v>
      </c>
      <c r="D59">
        <f>'Maintenance Activities'!$B$3</f>
        <v>30</v>
      </c>
    </row>
    <row r="60" spans="1:4" x14ac:dyDescent="0.35">
      <c r="A60" t="str">
        <f>'Bike Stations'!A$16</f>
        <v>Craiglockheart Road North</v>
      </c>
      <c r="C60" t="s">
        <v>7</v>
      </c>
      <c r="D60">
        <f>'Maintenance Activities'!$B$4</f>
        <v>60</v>
      </c>
    </row>
    <row r="61" spans="1:4" x14ac:dyDescent="0.35">
      <c r="A61" t="str">
        <f>'Bike Stations'!A$16</f>
        <v>Craiglockheart Road North</v>
      </c>
      <c r="C61" t="s">
        <v>8</v>
      </c>
      <c r="D61">
        <f>'Maintenance Activities'!$B$5</f>
        <v>120</v>
      </c>
    </row>
    <row r="62" spans="1:4" x14ac:dyDescent="0.35">
      <c r="A62" t="str">
        <f>'Bike Stations'!A$17</f>
        <v>Willowbrae Avenue</v>
      </c>
      <c r="C62" t="s">
        <v>5</v>
      </c>
      <c r="D62">
        <f>'Maintenance Activities'!$B$2</f>
        <v>10</v>
      </c>
    </row>
    <row r="63" spans="1:4" x14ac:dyDescent="0.35">
      <c r="A63" t="str">
        <f>'Bike Stations'!A$17</f>
        <v>Willowbrae Avenue</v>
      </c>
      <c r="C63" t="s">
        <v>6</v>
      </c>
      <c r="D63">
        <f>'Maintenance Activities'!$B$3</f>
        <v>30</v>
      </c>
    </row>
    <row r="64" spans="1:4" x14ac:dyDescent="0.35">
      <c r="A64" t="str">
        <f>'Bike Stations'!A$17</f>
        <v>Willowbrae Avenue</v>
      </c>
      <c r="C64" t="s">
        <v>7</v>
      </c>
      <c r="D64">
        <f>'Maintenance Activities'!$B$4</f>
        <v>60</v>
      </c>
    </row>
    <row r="65" spans="1:4" x14ac:dyDescent="0.35">
      <c r="A65" t="str">
        <f>'Bike Stations'!A$17</f>
        <v>Willowbrae Avenue</v>
      </c>
      <c r="C65" t="s">
        <v>8</v>
      </c>
      <c r="D65">
        <f>'Maintenance Activities'!$B$5</f>
        <v>120</v>
      </c>
    </row>
    <row r="66" spans="1:4" x14ac:dyDescent="0.35">
      <c r="A66" t="str">
        <f>'Bike Stations'!A$18</f>
        <v>Morningside Road</v>
      </c>
      <c r="C66" t="s">
        <v>5</v>
      </c>
      <c r="D66">
        <f>'Maintenance Activities'!$B$2</f>
        <v>10</v>
      </c>
    </row>
    <row r="67" spans="1:4" x14ac:dyDescent="0.35">
      <c r="A67" t="str">
        <f>'Bike Stations'!A$18</f>
        <v>Morningside Road</v>
      </c>
      <c r="C67" t="s">
        <v>6</v>
      </c>
      <c r="D67">
        <f>'Maintenance Activities'!$B$3</f>
        <v>30</v>
      </c>
    </row>
    <row r="68" spans="1:4" x14ac:dyDescent="0.35">
      <c r="A68" t="str">
        <f>'Bike Stations'!A$18</f>
        <v>Morningside Road</v>
      </c>
      <c r="C68" t="s">
        <v>7</v>
      </c>
      <c r="D68">
        <f>'Maintenance Activities'!$B$4</f>
        <v>60</v>
      </c>
    </row>
    <row r="69" spans="1:4" x14ac:dyDescent="0.35">
      <c r="A69" t="str">
        <f>'Bike Stations'!A$18</f>
        <v>Morningside Road</v>
      </c>
      <c r="C69" t="s">
        <v>8</v>
      </c>
      <c r="D69">
        <f>'Maintenance Activities'!$B$5</f>
        <v>120</v>
      </c>
    </row>
    <row r="70" spans="1:4" x14ac:dyDescent="0.35">
      <c r="A70" t="str">
        <f>'Bike Stations'!A$19</f>
        <v>Hill Street</v>
      </c>
      <c r="C70" t="s">
        <v>5</v>
      </c>
      <c r="D70">
        <f>'Maintenance Activities'!$B$2</f>
        <v>10</v>
      </c>
    </row>
    <row r="71" spans="1:4" x14ac:dyDescent="0.35">
      <c r="A71" t="str">
        <f>'Bike Stations'!A$19</f>
        <v>Hill Street</v>
      </c>
      <c r="C71" t="s">
        <v>6</v>
      </c>
      <c r="D71">
        <f>'Maintenance Activities'!$B$3</f>
        <v>30</v>
      </c>
    </row>
    <row r="72" spans="1:4" x14ac:dyDescent="0.35">
      <c r="A72" t="str">
        <f>'Bike Stations'!A$19</f>
        <v>Hill Street</v>
      </c>
      <c r="C72" t="s">
        <v>7</v>
      </c>
      <c r="D72">
        <f>'Maintenance Activities'!$B$4</f>
        <v>60</v>
      </c>
    </row>
    <row r="73" spans="1:4" x14ac:dyDescent="0.35">
      <c r="A73" t="str">
        <f>'Bike Stations'!A$19</f>
        <v>Hill Street</v>
      </c>
      <c r="C73" t="s">
        <v>8</v>
      </c>
      <c r="D73">
        <f>'Maintenance Activities'!$B$5</f>
        <v>120</v>
      </c>
    </row>
    <row r="74" spans="1:4" x14ac:dyDescent="0.35">
      <c r="A74" t="str">
        <f>'Bike Stations'!A$20</f>
        <v>Whitehouse Road</v>
      </c>
      <c r="C74" t="s">
        <v>5</v>
      </c>
      <c r="D74">
        <f>'Maintenance Activities'!$B$2</f>
        <v>10</v>
      </c>
    </row>
    <row r="75" spans="1:4" x14ac:dyDescent="0.35">
      <c r="A75" t="str">
        <f>'Bike Stations'!A$20</f>
        <v>Whitehouse Road</v>
      </c>
      <c r="C75" t="s">
        <v>6</v>
      </c>
      <c r="D75">
        <f>'Maintenance Activities'!$B$3</f>
        <v>30</v>
      </c>
    </row>
    <row r="76" spans="1:4" x14ac:dyDescent="0.35">
      <c r="A76" t="str">
        <f>'Bike Stations'!A$20</f>
        <v>Whitehouse Road</v>
      </c>
      <c r="C76" t="s">
        <v>7</v>
      </c>
      <c r="D76">
        <f>'Maintenance Activities'!$B$4</f>
        <v>60</v>
      </c>
    </row>
    <row r="77" spans="1:4" x14ac:dyDescent="0.35">
      <c r="A77" t="str">
        <f>'Bike Stations'!A$20</f>
        <v>Whitehouse Road</v>
      </c>
      <c r="C77" t="s">
        <v>8</v>
      </c>
      <c r="D77">
        <f>'Maintenance Activities'!$B$5</f>
        <v>120</v>
      </c>
    </row>
    <row r="78" spans="1:4" x14ac:dyDescent="0.35">
      <c r="A78" t="str">
        <f>'Bike Stations'!A$21</f>
        <v>Brunstane Road</v>
      </c>
      <c r="C78" t="s">
        <v>5</v>
      </c>
      <c r="D78">
        <f>'Maintenance Activities'!$B$2</f>
        <v>10</v>
      </c>
    </row>
    <row r="79" spans="1:4" x14ac:dyDescent="0.35">
      <c r="A79" t="str">
        <f>'Bike Stations'!A$21</f>
        <v>Brunstane Road</v>
      </c>
      <c r="C79" t="s">
        <v>6</v>
      </c>
      <c r="D79">
        <f>'Maintenance Activities'!$B$3</f>
        <v>30</v>
      </c>
    </row>
    <row r="80" spans="1:4" x14ac:dyDescent="0.35">
      <c r="A80" t="str">
        <f>'Bike Stations'!A$21</f>
        <v>Brunstane Road</v>
      </c>
      <c r="C80" t="s">
        <v>7</v>
      </c>
      <c r="D80">
        <f>'Maintenance Activities'!$B$4</f>
        <v>60</v>
      </c>
    </row>
    <row r="81" spans="1:4" x14ac:dyDescent="0.35">
      <c r="A81" t="str">
        <f>'Bike Stations'!A$21</f>
        <v>Brunstane Road</v>
      </c>
      <c r="C81" t="s">
        <v>8</v>
      </c>
      <c r="D81">
        <f>'Maintenance Activities'!$B$5</f>
        <v>120</v>
      </c>
    </row>
    <row r="82" spans="1:4" x14ac:dyDescent="0.35">
      <c r="A82" t="str">
        <f>'Bike Stations'!A$22</f>
        <v>St. John's Road</v>
      </c>
      <c r="C82" t="s">
        <v>5</v>
      </c>
      <c r="D82">
        <f>'Maintenance Activities'!$B$2</f>
        <v>10</v>
      </c>
    </row>
    <row r="83" spans="1:4" x14ac:dyDescent="0.35">
      <c r="A83" t="str">
        <f>'Bike Stations'!A$22</f>
        <v>St. John's Road</v>
      </c>
      <c r="C83" t="s">
        <v>6</v>
      </c>
      <c r="D83">
        <f>'Maintenance Activities'!$B$3</f>
        <v>30</v>
      </c>
    </row>
    <row r="84" spans="1:4" x14ac:dyDescent="0.35">
      <c r="A84" t="str">
        <f>'Bike Stations'!A$22</f>
        <v>St. John's Road</v>
      </c>
      <c r="C84" t="s">
        <v>7</v>
      </c>
      <c r="D84">
        <f>'Maintenance Activities'!$B$4</f>
        <v>60</v>
      </c>
    </row>
    <row r="85" spans="1:4" x14ac:dyDescent="0.35">
      <c r="A85" t="str">
        <f>'Bike Stations'!A$22</f>
        <v>St. John's Road</v>
      </c>
      <c r="C85" t="s">
        <v>8</v>
      </c>
      <c r="D85">
        <f>'Maintenance Activities'!$B$5</f>
        <v>120</v>
      </c>
    </row>
    <row r="86" spans="1:4" x14ac:dyDescent="0.35">
      <c r="A86" t="str">
        <f>'Bike Stations'!A$23</f>
        <v>Lanark Road</v>
      </c>
      <c r="C86" t="s">
        <v>5</v>
      </c>
      <c r="D86">
        <f>'Maintenance Activities'!$B$2</f>
        <v>10</v>
      </c>
    </row>
    <row r="87" spans="1:4" x14ac:dyDescent="0.35">
      <c r="A87" t="str">
        <f>'Bike Stations'!A$23</f>
        <v>Lanark Road</v>
      </c>
      <c r="C87" t="s">
        <v>6</v>
      </c>
      <c r="D87">
        <f>'Maintenance Activities'!$B$3</f>
        <v>30</v>
      </c>
    </row>
    <row r="88" spans="1:4" x14ac:dyDescent="0.35">
      <c r="A88" t="str">
        <f>'Bike Stations'!A$23</f>
        <v>Lanark Road</v>
      </c>
      <c r="C88" t="s">
        <v>7</v>
      </c>
      <c r="D88">
        <f>'Maintenance Activities'!$B$4</f>
        <v>60</v>
      </c>
    </row>
    <row r="89" spans="1:4" x14ac:dyDescent="0.35">
      <c r="A89" t="str">
        <f>'Bike Stations'!A$23</f>
        <v>Lanark Road</v>
      </c>
      <c r="C89" t="s">
        <v>8</v>
      </c>
      <c r="D89">
        <f>'Maintenance Activities'!$B$5</f>
        <v>120</v>
      </c>
    </row>
    <row r="90" spans="1:4" x14ac:dyDescent="0.35">
      <c r="A90" t="str">
        <f>'Bike Stations'!A$24</f>
        <v>Ferry Road</v>
      </c>
      <c r="C90" t="s">
        <v>5</v>
      </c>
      <c r="D90">
        <f>'Maintenance Activities'!$B$2</f>
        <v>10</v>
      </c>
    </row>
    <row r="91" spans="1:4" x14ac:dyDescent="0.35">
      <c r="A91" t="str">
        <f>'Bike Stations'!A$24</f>
        <v>Ferry Road</v>
      </c>
      <c r="C91" t="s">
        <v>6</v>
      </c>
      <c r="D91">
        <f>'Maintenance Activities'!$B$3</f>
        <v>30</v>
      </c>
    </row>
    <row r="92" spans="1:4" x14ac:dyDescent="0.35">
      <c r="A92" t="str">
        <f>'Bike Stations'!A$24</f>
        <v>Ferry Road</v>
      </c>
      <c r="C92" t="s">
        <v>7</v>
      </c>
      <c r="D92">
        <f>'Maintenance Activities'!$B$4</f>
        <v>60</v>
      </c>
    </row>
    <row r="93" spans="1:4" x14ac:dyDescent="0.35">
      <c r="A93" t="str">
        <f>'Bike Stations'!A$24</f>
        <v>Ferry Road</v>
      </c>
      <c r="C93" t="s">
        <v>8</v>
      </c>
      <c r="D93">
        <f>'Maintenance Activities'!$B$5</f>
        <v>120</v>
      </c>
    </row>
    <row r="94" spans="1:4" x14ac:dyDescent="0.35">
      <c r="A94" t="str">
        <f>'Bike Stations'!A$25</f>
        <v>Pilton Avenue</v>
      </c>
      <c r="C94" t="s">
        <v>5</v>
      </c>
      <c r="D94">
        <f>'Maintenance Activities'!$B$2</f>
        <v>10</v>
      </c>
    </row>
    <row r="95" spans="1:4" x14ac:dyDescent="0.35">
      <c r="A95" t="str">
        <f>'Bike Stations'!A$25</f>
        <v>Pilton Avenue</v>
      </c>
      <c r="C95" t="s">
        <v>6</v>
      </c>
      <c r="D95">
        <f>'Maintenance Activities'!$B$3</f>
        <v>30</v>
      </c>
    </row>
    <row r="96" spans="1:4" x14ac:dyDescent="0.35">
      <c r="A96" t="str">
        <f>'Bike Stations'!A$25</f>
        <v>Pilton Avenue</v>
      </c>
      <c r="C96" t="s">
        <v>7</v>
      </c>
      <c r="D96">
        <f>'Maintenance Activities'!$B$4</f>
        <v>60</v>
      </c>
    </row>
    <row r="97" spans="1:4" x14ac:dyDescent="0.35">
      <c r="A97" t="str">
        <f>'Bike Stations'!A$25</f>
        <v>Pilton Avenue</v>
      </c>
      <c r="C97" t="s">
        <v>8</v>
      </c>
      <c r="D97">
        <f>'Maintenance Activities'!$B$5</f>
        <v>120</v>
      </c>
    </row>
    <row r="98" spans="1:4" x14ac:dyDescent="0.35">
      <c r="A98" t="str">
        <f>'Bike Stations'!A$26</f>
        <v>Moredun Dykes Road</v>
      </c>
      <c r="C98" t="s">
        <v>5</v>
      </c>
      <c r="D98">
        <f>'Maintenance Activities'!$B$2</f>
        <v>10</v>
      </c>
    </row>
    <row r="99" spans="1:4" x14ac:dyDescent="0.35">
      <c r="A99" t="str">
        <f>'Bike Stations'!A$26</f>
        <v>Moredun Dykes Road</v>
      </c>
      <c r="C99" t="s">
        <v>6</v>
      </c>
      <c r="D99">
        <f>'Maintenance Activities'!$B$3</f>
        <v>30</v>
      </c>
    </row>
    <row r="100" spans="1:4" x14ac:dyDescent="0.35">
      <c r="A100" t="str">
        <f>'Bike Stations'!A$26</f>
        <v>Moredun Dykes Road</v>
      </c>
      <c r="C100" t="s">
        <v>7</v>
      </c>
      <c r="D100">
        <f>'Maintenance Activities'!$B$4</f>
        <v>60</v>
      </c>
    </row>
    <row r="101" spans="1:4" x14ac:dyDescent="0.35">
      <c r="A101" t="str">
        <f>'Bike Stations'!A$26</f>
        <v>Moredun Dykes Road</v>
      </c>
      <c r="C101" t="s">
        <v>8</v>
      </c>
      <c r="D101">
        <f>'Maintenance Activities'!$B$5</f>
        <v>120</v>
      </c>
    </row>
    <row r="102" spans="1:4" x14ac:dyDescent="0.35">
      <c r="A102" t="str">
        <f>'Bike Stations'!A$27</f>
        <v>Craigleith Hill Avenue</v>
      </c>
      <c r="C102" t="s">
        <v>5</v>
      </c>
      <c r="D102">
        <f>'Maintenance Activities'!$B$2</f>
        <v>10</v>
      </c>
    </row>
    <row r="103" spans="1:4" x14ac:dyDescent="0.35">
      <c r="A103" t="str">
        <f>'Bike Stations'!A$27</f>
        <v>Craigleith Hill Avenue</v>
      </c>
      <c r="C103" t="s">
        <v>6</v>
      </c>
      <c r="D103">
        <f>'Maintenance Activities'!$B$3</f>
        <v>30</v>
      </c>
    </row>
    <row r="104" spans="1:4" x14ac:dyDescent="0.35">
      <c r="A104" t="str">
        <f>'Bike Stations'!A$27</f>
        <v>Craigleith Hill Avenue</v>
      </c>
      <c r="C104" t="s">
        <v>7</v>
      </c>
      <c r="D104">
        <f>'Maintenance Activities'!$B$4</f>
        <v>60</v>
      </c>
    </row>
    <row r="105" spans="1:4" x14ac:dyDescent="0.35">
      <c r="A105" t="str">
        <f>'Bike Stations'!A$27</f>
        <v>Craigleith Hill Avenue</v>
      </c>
      <c r="C105" t="s">
        <v>8</v>
      </c>
      <c r="D105">
        <f>'Maintenance Activities'!$B$5</f>
        <v>120</v>
      </c>
    </row>
    <row r="106" spans="1:4" x14ac:dyDescent="0.35">
      <c r="A106" t="str">
        <f>'Bike Stations'!A$28</f>
        <v>Dovecot Crescent</v>
      </c>
      <c r="C106" t="s">
        <v>5</v>
      </c>
      <c r="D106">
        <f>'Maintenance Activities'!$B$2</f>
        <v>10</v>
      </c>
    </row>
    <row r="107" spans="1:4" x14ac:dyDescent="0.35">
      <c r="A107" t="str">
        <f>'Bike Stations'!A$28</f>
        <v>Dovecot Crescent</v>
      </c>
      <c r="C107" t="s">
        <v>6</v>
      </c>
      <c r="D107">
        <f>'Maintenance Activities'!$B$3</f>
        <v>30</v>
      </c>
    </row>
    <row r="108" spans="1:4" x14ac:dyDescent="0.35">
      <c r="A108" t="str">
        <f>'Bike Stations'!A$28</f>
        <v>Dovecot Crescent</v>
      </c>
      <c r="C108" t="s">
        <v>7</v>
      </c>
      <c r="D108">
        <f>'Maintenance Activities'!$B$4</f>
        <v>60</v>
      </c>
    </row>
    <row r="109" spans="1:4" x14ac:dyDescent="0.35">
      <c r="A109" t="str">
        <f>'Bike Stations'!A$28</f>
        <v>Dovecot Crescent</v>
      </c>
      <c r="C109" t="s">
        <v>8</v>
      </c>
      <c r="D109">
        <f>'Maintenance Activities'!$B$5</f>
        <v>120</v>
      </c>
    </row>
    <row r="110" spans="1:4" x14ac:dyDescent="0.35">
      <c r="A110" t="str">
        <f>'Bike Stations'!A$29</f>
        <v>Newbattle Abbey Crescent</v>
      </c>
      <c r="C110" t="s">
        <v>5</v>
      </c>
      <c r="D110">
        <f>'Maintenance Activities'!$B$2</f>
        <v>10</v>
      </c>
    </row>
    <row r="111" spans="1:4" x14ac:dyDescent="0.35">
      <c r="A111" t="str">
        <f>'Bike Stations'!A$29</f>
        <v>Newbattle Abbey Crescent</v>
      </c>
      <c r="C111" t="s">
        <v>6</v>
      </c>
      <c r="D111">
        <f>'Maintenance Activities'!$B$3</f>
        <v>30</v>
      </c>
    </row>
    <row r="112" spans="1:4" x14ac:dyDescent="0.35">
      <c r="A112" t="str">
        <f>'Bike Stations'!A$29</f>
        <v>Newbattle Abbey Crescent</v>
      </c>
      <c r="C112" t="s">
        <v>7</v>
      </c>
      <c r="D112">
        <f>'Maintenance Activities'!$B$4</f>
        <v>60</v>
      </c>
    </row>
    <row r="113" spans="1:4" x14ac:dyDescent="0.35">
      <c r="A113" t="str">
        <f>'Bike Stations'!A$29</f>
        <v>Newbattle Abbey Crescent</v>
      </c>
      <c r="C113" t="s">
        <v>8</v>
      </c>
      <c r="D113">
        <f>'Maintenance Activities'!$B$5</f>
        <v>120</v>
      </c>
    </row>
    <row r="114" spans="1:4" x14ac:dyDescent="0.35">
      <c r="A114" t="str">
        <f>'Bike Stations'!A$30</f>
        <v>Lauder Road</v>
      </c>
      <c r="C114" t="s">
        <v>5</v>
      </c>
      <c r="D114">
        <f>'Maintenance Activities'!$B$2</f>
        <v>10</v>
      </c>
    </row>
    <row r="115" spans="1:4" x14ac:dyDescent="0.35">
      <c r="A115" t="str">
        <f>'Bike Stations'!A$30</f>
        <v>Lauder Road</v>
      </c>
      <c r="C115" t="s">
        <v>6</v>
      </c>
      <c r="D115">
        <f>'Maintenance Activities'!$B$3</f>
        <v>30</v>
      </c>
    </row>
    <row r="116" spans="1:4" x14ac:dyDescent="0.35">
      <c r="A116" t="str">
        <f>'Bike Stations'!A$30</f>
        <v>Lauder Road</v>
      </c>
      <c r="C116" t="s">
        <v>7</v>
      </c>
      <c r="D116">
        <f>'Maintenance Activities'!$B$4</f>
        <v>60</v>
      </c>
    </row>
    <row r="117" spans="1:4" x14ac:dyDescent="0.35">
      <c r="A117" t="str">
        <f>'Bike Stations'!A$30</f>
        <v>Lauder Road</v>
      </c>
      <c r="C117" t="s">
        <v>8</v>
      </c>
      <c r="D117">
        <f>'Maintenance Activities'!$B$5</f>
        <v>120</v>
      </c>
    </row>
    <row r="118" spans="1:4" x14ac:dyDescent="0.35">
      <c r="A118" t="str">
        <f>'Bike Stations'!A$31</f>
        <v>Easter Currie Place</v>
      </c>
      <c r="C118" t="s">
        <v>5</v>
      </c>
      <c r="D118">
        <f>'Maintenance Activities'!$B$2</f>
        <v>10</v>
      </c>
    </row>
    <row r="119" spans="1:4" x14ac:dyDescent="0.35">
      <c r="A119" t="str">
        <f>'Bike Stations'!A$31</f>
        <v>Easter Currie Place</v>
      </c>
      <c r="C119" t="s">
        <v>6</v>
      </c>
      <c r="D119">
        <f>'Maintenance Activities'!$B$3</f>
        <v>30</v>
      </c>
    </row>
    <row r="120" spans="1:4" x14ac:dyDescent="0.35">
      <c r="A120" t="str">
        <f>'Bike Stations'!A$31</f>
        <v>Easter Currie Place</v>
      </c>
      <c r="C120" t="s">
        <v>7</v>
      </c>
      <c r="D120">
        <f>'Maintenance Activities'!$B$4</f>
        <v>60</v>
      </c>
    </row>
    <row r="121" spans="1:4" x14ac:dyDescent="0.35">
      <c r="A121" t="str">
        <f>'Bike Stations'!A$31</f>
        <v>Easter Currie Place</v>
      </c>
      <c r="C121" t="s">
        <v>8</v>
      </c>
      <c r="D121">
        <f>'Maintenance Activities'!$B$5</f>
        <v>120</v>
      </c>
    </row>
    <row r="122" spans="1:4" x14ac:dyDescent="0.35">
      <c r="A122" t="str">
        <f>'Bike Stations'!A$32</f>
        <v>Mountcastle Gardens</v>
      </c>
      <c r="C122" t="s">
        <v>5</v>
      </c>
      <c r="D122">
        <f>'Maintenance Activities'!$B$2</f>
        <v>10</v>
      </c>
    </row>
    <row r="123" spans="1:4" x14ac:dyDescent="0.35">
      <c r="A123" t="str">
        <f>'Bike Stations'!A$32</f>
        <v>Mountcastle Gardens</v>
      </c>
      <c r="C123" t="s">
        <v>6</v>
      </c>
      <c r="D123">
        <f>'Maintenance Activities'!$B$3</f>
        <v>30</v>
      </c>
    </row>
    <row r="124" spans="1:4" x14ac:dyDescent="0.35">
      <c r="A124" t="str">
        <f>'Bike Stations'!A$32</f>
        <v>Mountcastle Gardens</v>
      </c>
      <c r="C124" t="s">
        <v>7</v>
      </c>
      <c r="D124">
        <f>'Maintenance Activities'!$B$4</f>
        <v>60</v>
      </c>
    </row>
    <row r="125" spans="1:4" x14ac:dyDescent="0.35">
      <c r="A125" t="str">
        <f>'Bike Stations'!A$32</f>
        <v>Mountcastle Gardens</v>
      </c>
      <c r="C125" t="s">
        <v>8</v>
      </c>
      <c r="D125">
        <f>'Maintenance Activities'!$B$5</f>
        <v>120</v>
      </c>
    </row>
    <row r="126" spans="1:4" x14ac:dyDescent="0.35">
      <c r="A126" t="str">
        <f>'Bike Stations'!A$33</f>
        <v>Buckstone Road</v>
      </c>
      <c r="C126" t="s">
        <v>5</v>
      </c>
      <c r="D126">
        <f>'Maintenance Activities'!$B$2</f>
        <v>10</v>
      </c>
    </row>
    <row r="127" spans="1:4" x14ac:dyDescent="0.35">
      <c r="A127" t="str">
        <f>'Bike Stations'!A$33</f>
        <v>Buckstone Road</v>
      </c>
      <c r="C127" t="s">
        <v>6</v>
      </c>
      <c r="D127">
        <f>'Maintenance Activities'!$B$3</f>
        <v>30</v>
      </c>
    </row>
    <row r="128" spans="1:4" x14ac:dyDescent="0.35">
      <c r="A128" t="str">
        <f>'Bike Stations'!A$33</f>
        <v>Buckstone Road</v>
      </c>
      <c r="C128" t="s">
        <v>7</v>
      </c>
      <c r="D128">
        <f>'Maintenance Activities'!$B$4</f>
        <v>60</v>
      </c>
    </row>
    <row r="129" spans="1:4" x14ac:dyDescent="0.35">
      <c r="A129" t="str">
        <f>'Bike Stations'!A$33</f>
        <v>Buckstone Road</v>
      </c>
      <c r="C129" t="s">
        <v>8</v>
      </c>
      <c r="D129">
        <f>'Maintenance Activities'!$B$5</f>
        <v>120</v>
      </c>
    </row>
    <row r="130" spans="1:4" x14ac:dyDescent="0.35">
      <c r="A130" t="str">
        <f>'Bike Stations'!A$34</f>
        <v>Saughtonhall Gardens</v>
      </c>
      <c r="C130" t="s">
        <v>5</v>
      </c>
      <c r="D130">
        <f>'Maintenance Activities'!$B$2</f>
        <v>10</v>
      </c>
    </row>
    <row r="131" spans="1:4" x14ac:dyDescent="0.35">
      <c r="A131" t="str">
        <f>'Bike Stations'!A$34</f>
        <v>Saughtonhall Gardens</v>
      </c>
      <c r="C131" t="s">
        <v>6</v>
      </c>
      <c r="D131">
        <f>'Maintenance Activities'!$B$3</f>
        <v>30</v>
      </c>
    </row>
    <row r="132" spans="1:4" x14ac:dyDescent="0.35">
      <c r="A132" t="str">
        <f>'Bike Stations'!A$34</f>
        <v>Saughtonhall Gardens</v>
      </c>
      <c r="C132" t="s">
        <v>7</v>
      </c>
      <c r="D132">
        <f>'Maintenance Activities'!$B$4</f>
        <v>60</v>
      </c>
    </row>
    <row r="133" spans="1:4" x14ac:dyDescent="0.35">
      <c r="A133" t="str">
        <f>'Bike Stations'!A$34</f>
        <v>Saughtonhall Gardens</v>
      </c>
      <c r="C133" t="s">
        <v>8</v>
      </c>
      <c r="D133">
        <f>'Maintenance Activities'!$B$5</f>
        <v>120</v>
      </c>
    </row>
    <row r="134" spans="1:4" x14ac:dyDescent="0.35">
      <c r="A134" t="str">
        <f>'Bike Stations'!A$35</f>
        <v>Priestfield Road-Prestonfield Avenue</v>
      </c>
      <c r="C134" t="s">
        <v>5</v>
      </c>
      <c r="D134">
        <f>'Maintenance Activities'!$B$2</f>
        <v>10</v>
      </c>
    </row>
    <row r="135" spans="1:4" x14ac:dyDescent="0.35">
      <c r="A135" t="str">
        <f>'Bike Stations'!A$35</f>
        <v>Priestfield Road-Prestonfield Avenue</v>
      </c>
      <c r="C135" t="s">
        <v>6</v>
      </c>
      <c r="D135">
        <f>'Maintenance Activities'!$B$3</f>
        <v>30</v>
      </c>
    </row>
    <row r="136" spans="1:4" x14ac:dyDescent="0.35">
      <c r="A136" t="str">
        <f>'Bike Stations'!A$35</f>
        <v>Priestfield Road-Prestonfield Avenue</v>
      </c>
      <c r="C136" t="s">
        <v>7</v>
      </c>
      <c r="D136">
        <f>'Maintenance Activities'!$B$4</f>
        <v>60</v>
      </c>
    </row>
    <row r="137" spans="1:4" x14ac:dyDescent="0.35">
      <c r="A137" t="str">
        <f>'Bike Stations'!A$35</f>
        <v>Priestfield Road-Prestonfield Avenue</v>
      </c>
      <c r="C137" t="s">
        <v>8</v>
      </c>
      <c r="D137">
        <f>'Maintenance Activities'!$B$5</f>
        <v>120</v>
      </c>
    </row>
    <row r="138" spans="1:4" x14ac:dyDescent="0.35">
      <c r="A138" t="str">
        <f>'Bike Stations'!A$36</f>
        <v>Prospect Bank Road</v>
      </c>
      <c r="C138" t="s">
        <v>5</v>
      </c>
      <c r="D138">
        <f>'Maintenance Activities'!$B$2</f>
        <v>10</v>
      </c>
    </row>
    <row r="139" spans="1:4" x14ac:dyDescent="0.35">
      <c r="A139" t="str">
        <f>'Bike Stations'!A$36</f>
        <v>Prospect Bank Road</v>
      </c>
      <c r="C139" t="s">
        <v>6</v>
      </c>
      <c r="D139">
        <f>'Maintenance Activities'!$B$3</f>
        <v>30</v>
      </c>
    </row>
    <row r="140" spans="1:4" x14ac:dyDescent="0.35">
      <c r="A140" t="str">
        <f>'Bike Stations'!A$36</f>
        <v>Prospect Bank Road</v>
      </c>
      <c r="C140" t="s">
        <v>7</v>
      </c>
      <c r="D140">
        <f>'Maintenance Activities'!$B$4</f>
        <v>60</v>
      </c>
    </row>
    <row r="141" spans="1:4" x14ac:dyDescent="0.35">
      <c r="A141" t="str">
        <f>'Bike Stations'!A$36</f>
        <v>Prospect Bank Road</v>
      </c>
      <c r="C141" t="s">
        <v>8</v>
      </c>
      <c r="D141">
        <f>'Maintenance Activities'!$B$5</f>
        <v>120</v>
      </c>
    </row>
    <row r="142" spans="1:4" x14ac:dyDescent="0.35">
      <c r="A142" t="str">
        <f>'Bike Stations'!A$37</f>
        <v>Wester Hailes Road</v>
      </c>
      <c r="C142" t="s">
        <v>5</v>
      </c>
      <c r="D142">
        <f>'Maintenance Activities'!$B$2</f>
        <v>10</v>
      </c>
    </row>
    <row r="143" spans="1:4" x14ac:dyDescent="0.35">
      <c r="A143" t="str">
        <f>'Bike Stations'!A$37</f>
        <v>Wester Hailes Road</v>
      </c>
      <c r="C143" t="s">
        <v>6</v>
      </c>
      <c r="D143">
        <f>'Maintenance Activities'!$B$3</f>
        <v>30</v>
      </c>
    </row>
    <row r="144" spans="1:4" x14ac:dyDescent="0.35">
      <c r="A144" t="str">
        <f>'Bike Stations'!A$37</f>
        <v>Wester Hailes Road</v>
      </c>
      <c r="C144" t="s">
        <v>7</v>
      </c>
      <c r="D144">
        <f>'Maintenance Activities'!$B$4</f>
        <v>60</v>
      </c>
    </row>
    <row r="145" spans="1:4" x14ac:dyDescent="0.35">
      <c r="A145" t="str">
        <f>'Bike Stations'!A$37</f>
        <v>Wester Hailes Road</v>
      </c>
      <c r="C145" t="s">
        <v>8</v>
      </c>
      <c r="D145">
        <f>'Maintenance Activities'!$B$5</f>
        <v>120</v>
      </c>
    </row>
    <row r="146" spans="1:4" x14ac:dyDescent="0.35">
      <c r="A146" t="str">
        <f>'Bike Stations'!A$38</f>
        <v>Bangholm Loan</v>
      </c>
      <c r="C146" t="s">
        <v>5</v>
      </c>
      <c r="D146">
        <f>'Maintenance Activities'!$B$2</f>
        <v>10</v>
      </c>
    </row>
    <row r="147" spans="1:4" x14ac:dyDescent="0.35">
      <c r="A147" t="str">
        <f>'Bike Stations'!A$38</f>
        <v>Bangholm Loan</v>
      </c>
      <c r="C147" t="s">
        <v>6</v>
      </c>
      <c r="D147">
        <f>'Maintenance Activities'!$B$3</f>
        <v>30</v>
      </c>
    </row>
    <row r="148" spans="1:4" x14ac:dyDescent="0.35">
      <c r="A148" t="str">
        <f>'Bike Stations'!A$38</f>
        <v>Bangholm Loan</v>
      </c>
      <c r="C148" t="s">
        <v>7</v>
      </c>
      <c r="D148">
        <f>'Maintenance Activities'!$B$4</f>
        <v>60</v>
      </c>
    </row>
    <row r="149" spans="1:4" x14ac:dyDescent="0.35">
      <c r="A149" t="str">
        <f>'Bike Stations'!A$38</f>
        <v>Bangholm Loan</v>
      </c>
      <c r="C149" t="s">
        <v>8</v>
      </c>
      <c r="D149">
        <f>'Maintenance Activities'!$B$5</f>
        <v>120</v>
      </c>
    </row>
    <row r="150" spans="1:4" x14ac:dyDescent="0.35">
      <c r="A150" t="str">
        <f>'Bike Stations'!A$39</f>
        <v>Southfield Gardens West</v>
      </c>
      <c r="C150" t="s">
        <v>5</v>
      </c>
      <c r="D150">
        <f>'Maintenance Activities'!$B$2</f>
        <v>10</v>
      </c>
    </row>
    <row r="151" spans="1:4" x14ac:dyDescent="0.35">
      <c r="A151" t="str">
        <f>'Bike Stations'!A$39</f>
        <v>Southfield Gardens West</v>
      </c>
      <c r="C151" t="s">
        <v>6</v>
      </c>
      <c r="D151">
        <f>'Maintenance Activities'!$B$3</f>
        <v>30</v>
      </c>
    </row>
    <row r="152" spans="1:4" x14ac:dyDescent="0.35">
      <c r="A152" t="str">
        <f>'Bike Stations'!A$39</f>
        <v>Southfield Gardens West</v>
      </c>
      <c r="C152" t="s">
        <v>7</v>
      </c>
      <c r="D152">
        <f>'Maintenance Activities'!$B$4</f>
        <v>60</v>
      </c>
    </row>
    <row r="153" spans="1:4" x14ac:dyDescent="0.35">
      <c r="A153" t="str">
        <f>'Bike Stations'!A$39</f>
        <v>Southfield Gardens West</v>
      </c>
      <c r="C153" t="s">
        <v>8</v>
      </c>
      <c r="D153">
        <f>'Maintenance Activities'!$B$5</f>
        <v>120</v>
      </c>
    </row>
    <row r="154" spans="1:4" x14ac:dyDescent="0.35">
      <c r="A154" t="str">
        <f>'Bike Stations'!A$40</f>
        <v>Burnbrae</v>
      </c>
      <c r="C154" t="s">
        <v>5</v>
      </c>
      <c r="D154">
        <f>'Maintenance Activities'!$B$2</f>
        <v>10</v>
      </c>
    </row>
    <row r="155" spans="1:4" x14ac:dyDescent="0.35">
      <c r="A155" t="str">
        <f>'Bike Stations'!A$40</f>
        <v>Burnbrae</v>
      </c>
      <c r="C155" t="s">
        <v>6</v>
      </c>
      <c r="D155">
        <f>'Maintenance Activities'!$B$3</f>
        <v>30</v>
      </c>
    </row>
    <row r="156" spans="1:4" x14ac:dyDescent="0.35">
      <c r="A156" t="str">
        <f>'Bike Stations'!A$40</f>
        <v>Burnbrae</v>
      </c>
      <c r="C156" t="s">
        <v>7</v>
      </c>
      <c r="D156">
        <f>'Maintenance Activities'!$B$4</f>
        <v>60</v>
      </c>
    </row>
    <row r="157" spans="1:4" x14ac:dyDescent="0.35">
      <c r="A157" t="str">
        <f>'Bike Stations'!A$40</f>
        <v>Burnbrae</v>
      </c>
      <c r="C157" t="s">
        <v>8</v>
      </c>
      <c r="D157">
        <f>'Maintenance Activities'!$B$5</f>
        <v>120</v>
      </c>
    </row>
    <row r="158" spans="1:4" x14ac:dyDescent="0.35">
      <c r="A158" t="str">
        <f>'Bike Stations'!A$41</f>
        <v>The Loan</v>
      </c>
      <c r="C158" t="s">
        <v>5</v>
      </c>
      <c r="D158">
        <f>'Maintenance Activities'!$B$2</f>
        <v>10</v>
      </c>
    </row>
    <row r="159" spans="1:4" x14ac:dyDescent="0.35">
      <c r="A159" t="str">
        <f>'Bike Stations'!A$41</f>
        <v>The Loan</v>
      </c>
      <c r="C159" t="s">
        <v>6</v>
      </c>
      <c r="D159">
        <f>'Maintenance Activities'!$B$3</f>
        <v>30</v>
      </c>
    </row>
    <row r="160" spans="1:4" x14ac:dyDescent="0.35">
      <c r="A160" t="str">
        <f>'Bike Stations'!A$41</f>
        <v>The Loan</v>
      </c>
      <c r="C160" t="s">
        <v>7</v>
      </c>
      <c r="D160">
        <f>'Maintenance Activities'!$B$4</f>
        <v>60</v>
      </c>
    </row>
    <row r="161" spans="1:4" x14ac:dyDescent="0.35">
      <c r="A161" t="str">
        <f>'Bike Stations'!A$41</f>
        <v>The Loan</v>
      </c>
      <c r="C161" t="s">
        <v>8</v>
      </c>
      <c r="D161">
        <f>'Maintenance Activities'!$B$5</f>
        <v>120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666C6-E102-4E55-B9E8-B3DD1C73EB50}">
  <sheetPr codeName="Sheet2"/>
  <dimension ref="A1:C5"/>
  <sheetViews>
    <sheetView workbookViewId="0">
      <selection activeCell="B5" sqref="B5"/>
    </sheetView>
  </sheetViews>
  <sheetFormatPr defaultRowHeight="14.5" x14ac:dyDescent="0.35"/>
  <cols>
    <col min="1" max="1" width="21.1796875" customWidth="1"/>
    <col min="2" max="2" width="23.453125" customWidth="1"/>
    <col min="3" max="3" width="19" customWidth="1"/>
  </cols>
  <sheetData>
    <row r="1" spans="1:3" x14ac:dyDescent="0.35">
      <c r="A1" s="1" t="s">
        <v>2</v>
      </c>
      <c r="B1" s="1" t="s">
        <v>3</v>
      </c>
      <c r="C1" s="1" t="s">
        <v>4</v>
      </c>
    </row>
    <row r="2" spans="1:3" x14ac:dyDescent="0.35">
      <c r="A2" s="3" t="s">
        <v>5</v>
      </c>
      <c r="B2" s="3">
        <v>10</v>
      </c>
      <c r="C2" s="3">
        <v>52</v>
      </c>
    </row>
    <row r="3" spans="1:3" x14ac:dyDescent="0.35">
      <c r="A3" s="3" t="s">
        <v>6</v>
      </c>
      <c r="B3" s="3">
        <v>30</v>
      </c>
      <c r="C3" s="3">
        <v>12</v>
      </c>
    </row>
    <row r="4" spans="1:3" x14ac:dyDescent="0.35">
      <c r="A4" s="3" t="s">
        <v>7</v>
      </c>
      <c r="B4" s="3">
        <v>60</v>
      </c>
      <c r="C4" s="3">
        <v>2</v>
      </c>
    </row>
    <row r="5" spans="1:3" x14ac:dyDescent="0.35">
      <c r="A5" s="3" t="s">
        <v>8</v>
      </c>
      <c r="B5" s="3">
        <v>120</v>
      </c>
      <c r="C5" s="3">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83015-2B77-4DA8-8323-74BA0693A12F}">
  <sheetPr codeName="Sheet3"/>
  <dimension ref="A1:F251"/>
  <sheetViews>
    <sheetView topLeftCell="A233" workbookViewId="0">
      <selection activeCell="C2" sqref="C2:C251"/>
    </sheetView>
  </sheetViews>
  <sheetFormatPr defaultRowHeight="14.5" x14ac:dyDescent="0.35"/>
  <cols>
    <col min="1" max="1" width="21.453125" customWidth="1"/>
    <col min="2" max="2" width="16.54296875" customWidth="1"/>
    <col min="3" max="3" width="18.36328125" customWidth="1"/>
    <col min="4" max="4" width="15.6328125" customWidth="1"/>
    <col min="5" max="5" width="15.1796875" customWidth="1"/>
    <col min="6" max="6" width="20.36328125" customWidth="1"/>
  </cols>
  <sheetData>
    <row r="1" spans="1:6" ht="43.5" x14ac:dyDescent="0.35">
      <c r="A1" s="1" t="s">
        <v>0</v>
      </c>
      <c r="B1" s="1" t="s">
        <v>17</v>
      </c>
      <c r="C1" s="1" t="s">
        <v>18</v>
      </c>
      <c r="D1" s="1" t="s">
        <v>19</v>
      </c>
      <c r="E1" s="1" t="s">
        <v>20</v>
      </c>
      <c r="F1" s="1" t="s">
        <v>9</v>
      </c>
    </row>
    <row r="2" spans="1:6" x14ac:dyDescent="0.35">
      <c r="A2" t="str">
        <f>'Bike Stations'!A2</f>
        <v>Rosefield Intersection</v>
      </c>
      <c r="B2">
        <f>VLOOKUP(A2, 'Bike Stations'!$A$2:$B2, 2, FALSE) * VLOOKUP("Weekly", 'Maintenance Activities'!$A$2:$B$5, 2, FALSE) /60</f>
        <v>0.83333333333333337</v>
      </c>
      <c r="C2">
        <f>VLOOKUP(A2, 'Bike Stations'!$A$2:$B$255, 2, FALSE) * VLOOKUP("Monthly", 'Maintenance Activities'!$A$2:$B$5, 2, FALSE) /60</f>
        <v>2.5</v>
      </c>
      <c r="D2">
        <f>VLOOKUP(A2, 'Bike Stations'!$A$2:$B$255, 2, FALSE) * VLOOKUP("Biannual", 'Maintenance Activities'!$A$2:$B$5, 2, FALSE) / 60</f>
        <v>5</v>
      </c>
      <c r="E2">
        <f>VLOOKUP(A2, 'Bike Stations'!$A$2:$B$255, 2, FALSE) * VLOOKUP("Annual", 'Maintenance Activities'!$A$2:$B$5, 2, FALSE) / 60</f>
        <v>10</v>
      </c>
      <c r="F2" s="5">
        <f>B2 + C2 + D2 + E2</f>
        <v>18.333333333333336</v>
      </c>
    </row>
    <row r="3" spans="1:6" x14ac:dyDescent="0.35">
      <c r="A3" t="str">
        <f>'Bike Stations'!A3</f>
        <v>Saughton Road North</v>
      </c>
      <c r="B3">
        <f>VLOOKUP(A3, 'Bike Stations'!$A$2:$B3, 2, FALSE) * VLOOKUP("Weekly", 'Maintenance Activities'!$A$2:$B$5, 2, FALSE) /60</f>
        <v>0.83333333333333337</v>
      </c>
      <c r="C3">
        <f>VLOOKUP(A3, 'Bike Stations'!$A$2:$B$255, 2, FALSE) * VLOOKUP("Monthly", 'Maintenance Activities'!$A$2:$B$5, 2, FALSE) /60</f>
        <v>2.5</v>
      </c>
      <c r="D3">
        <f>VLOOKUP(A3, 'Bike Stations'!$A$2:$B$255, 2, FALSE) * VLOOKUP("Biannual", 'Maintenance Activities'!$A$2:$B$5, 2, FALSE) / 60</f>
        <v>5</v>
      </c>
      <c r="E3">
        <f>VLOOKUP(A3, 'Bike Stations'!$A$2:$B$255, 2, FALSE) * VLOOKUP("Annual", 'Maintenance Activities'!$A$2:$B$5, 2, FALSE) / 60</f>
        <v>10</v>
      </c>
      <c r="F3" s="5">
        <f>B3 + C3 + D3 + E3</f>
        <v>18.333333333333336</v>
      </c>
    </row>
    <row r="4" spans="1:6" x14ac:dyDescent="0.35">
      <c r="A4" t="str">
        <f>'Bike Stations'!A4</f>
        <v>Willaim Street-NW-SW</v>
      </c>
      <c r="B4">
        <f>VLOOKUP(A4, 'Bike Stations'!$A$2:$B4, 2, FALSE) * VLOOKUP("Weekly", 'Maintenance Activities'!$A$2:$B$5, 2, FALSE) /60</f>
        <v>0.83333333333333337</v>
      </c>
      <c r="C4">
        <f>VLOOKUP(A4, 'Bike Stations'!$A$2:$B$255, 2, FALSE) * VLOOKUP("Monthly", 'Maintenance Activities'!$A$2:$B$5, 2, FALSE) /60</f>
        <v>2.5</v>
      </c>
      <c r="D4">
        <f>VLOOKUP(A4, 'Bike Stations'!$A$2:$B$255, 2, FALSE) * VLOOKUP("Biannual", 'Maintenance Activities'!$A$2:$B$5, 2, FALSE) / 60</f>
        <v>5</v>
      </c>
      <c r="E4">
        <f>VLOOKUP(A4, 'Bike Stations'!$A$2:$B$255, 2, FALSE) * VLOOKUP("Annual", 'Maintenance Activities'!$A$2:$B$5, 2, FALSE) / 60</f>
        <v>10</v>
      </c>
      <c r="F4" s="5">
        <f t="shared" ref="F4:F67" si="0">B4 + C4 + D4 + E4</f>
        <v>18.333333333333336</v>
      </c>
    </row>
    <row r="5" spans="1:6" x14ac:dyDescent="0.35">
      <c r="A5" t="str">
        <f>'Bike Stations'!A5</f>
        <v>Rankin Road</v>
      </c>
      <c r="B5">
        <f>VLOOKUP(A5, 'Bike Stations'!$A$2:$B5, 2, FALSE) * VLOOKUP("Weekly", 'Maintenance Activities'!$A$2:$B$5, 2, FALSE) /60</f>
        <v>9.1666666666666661</v>
      </c>
      <c r="C5">
        <f>VLOOKUP(A5, 'Bike Stations'!$A$2:$B$255, 2, FALSE) * VLOOKUP("Monthly", 'Maintenance Activities'!$A$2:$B$5, 2, FALSE) /60</f>
        <v>27.5</v>
      </c>
      <c r="D5">
        <f>VLOOKUP(A5, 'Bike Stations'!$A$2:$B$255, 2, FALSE) * VLOOKUP("Biannual", 'Maintenance Activities'!$A$2:$B$5, 2, FALSE) / 60</f>
        <v>55</v>
      </c>
      <c r="E5">
        <f>VLOOKUP(A5, 'Bike Stations'!$A$2:$B$255, 2, FALSE) * VLOOKUP("Annual", 'Maintenance Activities'!$A$2:$B$5, 2, FALSE) / 60</f>
        <v>110</v>
      </c>
      <c r="F5" s="5">
        <f t="shared" si="0"/>
        <v>201.66666666666666</v>
      </c>
    </row>
    <row r="6" spans="1:6" x14ac:dyDescent="0.35">
      <c r="A6" t="str">
        <f>'Bike Stations'!A6</f>
        <v>Woodburn Street</v>
      </c>
      <c r="B6">
        <f>VLOOKUP(A6, 'Bike Stations'!$A$2:$B6, 2, FALSE) * VLOOKUP("Weekly", 'Maintenance Activities'!$A$2:$B$5, 2, FALSE) /60</f>
        <v>0</v>
      </c>
      <c r="C6">
        <f>VLOOKUP(A6, 'Bike Stations'!$A$2:$B$255, 2, FALSE) * VLOOKUP("Monthly", 'Maintenance Activities'!$A$2:$B$5, 2, FALSE) /60</f>
        <v>0</v>
      </c>
      <c r="D6">
        <f>VLOOKUP(A6, 'Bike Stations'!$A$2:$B$255, 2, FALSE) * VLOOKUP("Biannual", 'Maintenance Activities'!$A$2:$B$5, 2, FALSE) / 60</f>
        <v>0</v>
      </c>
      <c r="E6">
        <f>VLOOKUP(A6, 'Bike Stations'!$A$2:$B$255, 2, FALSE) * VLOOKUP("Annual", 'Maintenance Activities'!$A$2:$B$5, 2, FALSE) / 60</f>
        <v>0</v>
      </c>
      <c r="F6" s="5">
        <f t="shared" si="0"/>
        <v>0</v>
      </c>
    </row>
    <row r="7" spans="1:6" x14ac:dyDescent="0.35">
      <c r="A7" t="str">
        <f>'Bike Stations'!A7</f>
        <v>Greenbank Row-Road</v>
      </c>
      <c r="B7">
        <f>VLOOKUP(A7, 'Bike Stations'!$A$2:$B7, 2, FALSE) * VLOOKUP("Weekly", 'Maintenance Activities'!$A$2:$B$5, 2, FALSE) /60</f>
        <v>0.83333333333333337</v>
      </c>
      <c r="C7">
        <f>VLOOKUP(A7, 'Bike Stations'!$A$2:$B$255, 2, FALSE) * VLOOKUP("Monthly", 'Maintenance Activities'!$A$2:$B$5, 2, FALSE) /60</f>
        <v>2.5</v>
      </c>
      <c r="D7">
        <f>VLOOKUP(A7, 'Bike Stations'!$A$2:$B$255, 2, FALSE) * VLOOKUP("Biannual", 'Maintenance Activities'!$A$2:$B$5, 2, FALSE) / 60</f>
        <v>5</v>
      </c>
      <c r="E7">
        <f>VLOOKUP(A7, 'Bike Stations'!$A$2:$B$255, 2, FALSE) * VLOOKUP("Annual", 'Maintenance Activities'!$A$2:$B$5, 2, FALSE) / 60</f>
        <v>10</v>
      </c>
      <c r="F7" s="5">
        <f t="shared" si="0"/>
        <v>18.333333333333336</v>
      </c>
    </row>
    <row r="8" spans="1:6" x14ac:dyDescent="0.35">
      <c r="A8" t="str">
        <f>'Bike Stations'!A8</f>
        <v>Tolbooth Wynd</v>
      </c>
      <c r="B8">
        <f>VLOOKUP(A8, 'Bike Stations'!$A$2:$B8, 2, FALSE) * VLOOKUP("Weekly", 'Maintenance Activities'!$A$2:$B$5, 2, FALSE) /60</f>
        <v>9.1666666666666661</v>
      </c>
      <c r="C8">
        <f>VLOOKUP(A8, 'Bike Stations'!$A$2:$B$255, 2, FALSE) * VLOOKUP("Monthly", 'Maintenance Activities'!$A$2:$B$5, 2, FALSE) /60</f>
        <v>27.5</v>
      </c>
      <c r="D8">
        <f>VLOOKUP(A8, 'Bike Stations'!$A$2:$B$255, 2, FALSE) * VLOOKUP("Biannual", 'Maintenance Activities'!$A$2:$B$5, 2, FALSE) / 60</f>
        <v>55</v>
      </c>
      <c r="E8">
        <f>VLOOKUP(A8, 'Bike Stations'!$A$2:$B$255, 2, FALSE) * VLOOKUP("Annual", 'Maintenance Activities'!$A$2:$B$5, 2, FALSE) / 60</f>
        <v>110</v>
      </c>
      <c r="F8" s="5">
        <f t="shared" si="0"/>
        <v>201.66666666666666</v>
      </c>
    </row>
    <row r="9" spans="1:6" x14ac:dyDescent="0.35">
      <c r="A9" t="str">
        <f>'Bike Stations'!A9</f>
        <v>Newmills Crescent</v>
      </c>
      <c r="B9">
        <f>VLOOKUP(A9, 'Bike Stations'!$A$2:$B9, 2, FALSE) * VLOOKUP("Weekly", 'Maintenance Activities'!$A$2:$B$5, 2, FALSE) /60</f>
        <v>0.83333333333333337</v>
      </c>
      <c r="C9">
        <f>VLOOKUP(A9, 'Bike Stations'!$A$2:$B$255, 2, FALSE) * VLOOKUP("Monthly", 'Maintenance Activities'!$A$2:$B$5, 2, FALSE) /60</f>
        <v>2.5</v>
      </c>
      <c r="D9">
        <f>VLOOKUP(A9, 'Bike Stations'!$A$2:$B$255, 2, FALSE) * VLOOKUP("Biannual", 'Maintenance Activities'!$A$2:$B$5, 2, FALSE) / 60</f>
        <v>5</v>
      </c>
      <c r="E9">
        <f>VLOOKUP(A9, 'Bike Stations'!$A$2:$B$255, 2, FALSE) * VLOOKUP("Annual", 'Maintenance Activities'!$A$2:$B$5, 2, FALSE) / 60</f>
        <v>10</v>
      </c>
      <c r="F9" s="5">
        <f t="shared" si="0"/>
        <v>18.333333333333336</v>
      </c>
    </row>
    <row r="10" spans="1:6" x14ac:dyDescent="0.35">
      <c r="A10" t="str">
        <f>'Bike Stations'!A10</f>
        <v>Chapelhill Road</v>
      </c>
      <c r="B10">
        <f>VLOOKUP(A10, 'Bike Stations'!$A$2:$B10, 2, FALSE) * VLOOKUP("Weekly", 'Maintenance Activities'!$A$2:$B$5, 2, FALSE) /60</f>
        <v>0</v>
      </c>
      <c r="C10">
        <f>VLOOKUP(A10, 'Bike Stations'!$A$2:$B$255, 2, FALSE) * VLOOKUP("Monthly", 'Maintenance Activities'!$A$2:$B$5, 2, FALSE) /60</f>
        <v>0</v>
      </c>
      <c r="D10">
        <f>VLOOKUP(A10, 'Bike Stations'!$A$2:$B$255, 2, FALSE) * VLOOKUP("Biannual", 'Maintenance Activities'!$A$2:$B$5, 2, FALSE) / 60</f>
        <v>0</v>
      </c>
      <c r="E10">
        <f>VLOOKUP(A10, 'Bike Stations'!$A$2:$B$255, 2, FALSE) * VLOOKUP("Annual", 'Maintenance Activities'!$A$2:$B$5, 2, FALSE) / 60</f>
        <v>0</v>
      </c>
      <c r="F10" s="5">
        <f t="shared" si="0"/>
        <v>0</v>
      </c>
    </row>
    <row r="11" spans="1:6" x14ac:dyDescent="0.35">
      <c r="A11" t="str">
        <f>'Bike Stations'!A11</f>
        <v>Seafield Road</v>
      </c>
      <c r="B11">
        <f>VLOOKUP(A11, 'Bike Stations'!$A$2:$B11, 2, FALSE) * VLOOKUP("Weekly", 'Maintenance Activities'!$A$2:$B$5, 2, FALSE) /60</f>
        <v>0.83333333333333337</v>
      </c>
      <c r="C11">
        <f>VLOOKUP(A11, 'Bike Stations'!$A$2:$B$255, 2, FALSE) * VLOOKUP("Monthly", 'Maintenance Activities'!$A$2:$B$5, 2, FALSE) /60</f>
        <v>2.5</v>
      </c>
      <c r="D11">
        <f>VLOOKUP(A11, 'Bike Stations'!$A$2:$B$255, 2, FALSE) * VLOOKUP("Biannual", 'Maintenance Activities'!$A$2:$B$5, 2, FALSE) / 60</f>
        <v>5</v>
      </c>
      <c r="E11">
        <f>VLOOKUP(A11, 'Bike Stations'!$A$2:$B$255, 2, FALSE) * VLOOKUP("Annual", 'Maintenance Activities'!$A$2:$B$5, 2, FALSE) / 60</f>
        <v>10</v>
      </c>
      <c r="F11" s="5">
        <f t="shared" si="0"/>
        <v>18.333333333333336</v>
      </c>
    </row>
    <row r="12" spans="1:6" x14ac:dyDescent="0.35">
      <c r="A12" t="str">
        <f>'Bike Stations'!A12</f>
        <v>West Holmes Gardens</v>
      </c>
      <c r="B12">
        <f>VLOOKUP(A12, 'Bike Stations'!$A$2:$B12, 2, FALSE) * VLOOKUP("Weekly", 'Maintenance Activities'!$A$2:$B$5, 2, FALSE) /60</f>
        <v>9.1666666666666661</v>
      </c>
      <c r="C12">
        <f>VLOOKUP(A12, 'Bike Stations'!$A$2:$B$255, 2, FALSE) * VLOOKUP("Monthly", 'Maintenance Activities'!$A$2:$B$5, 2, FALSE) /60</f>
        <v>27.5</v>
      </c>
      <c r="D12">
        <f>VLOOKUP(A12, 'Bike Stations'!$A$2:$B$255, 2, FALSE) * VLOOKUP("Biannual", 'Maintenance Activities'!$A$2:$B$5, 2, FALSE) / 60</f>
        <v>55</v>
      </c>
      <c r="E12">
        <f>VLOOKUP(A12, 'Bike Stations'!$A$2:$B$255, 2, FALSE) * VLOOKUP("Annual", 'Maintenance Activities'!$A$2:$B$5, 2, FALSE) / 60</f>
        <v>110</v>
      </c>
      <c r="F12" s="5">
        <f t="shared" si="0"/>
        <v>201.66666666666666</v>
      </c>
    </row>
    <row r="13" spans="1:6" x14ac:dyDescent="0.35">
      <c r="A13" t="str">
        <f>'Bike Stations'!A13</f>
        <v>Dalhousie Avenue</v>
      </c>
      <c r="B13">
        <f>VLOOKUP(A13, 'Bike Stations'!$A$2:$B13, 2, FALSE) * VLOOKUP("Weekly", 'Maintenance Activities'!$A$2:$B$5, 2, FALSE) /60</f>
        <v>0</v>
      </c>
      <c r="C13">
        <f>VLOOKUP(A13, 'Bike Stations'!$A$2:$B$255, 2, FALSE) * VLOOKUP("Monthly", 'Maintenance Activities'!$A$2:$B$5, 2, FALSE) /60</f>
        <v>0</v>
      </c>
      <c r="D13">
        <f>VLOOKUP(A13, 'Bike Stations'!$A$2:$B$255, 2, FALSE) * VLOOKUP("Biannual", 'Maintenance Activities'!$A$2:$B$5, 2, FALSE) / 60</f>
        <v>0</v>
      </c>
      <c r="E13">
        <f>VLOOKUP(A13, 'Bike Stations'!$A$2:$B$255, 2, FALSE) * VLOOKUP("Annual", 'Maintenance Activities'!$A$2:$B$5, 2, FALSE) / 60</f>
        <v>0</v>
      </c>
      <c r="F13" s="5">
        <f t="shared" si="0"/>
        <v>0</v>
      </c>
    </row>
    <row r="14" spans="1:6" x14ac:dyDescent="0.35">
      <c r="A14" t="str">
        <f>'Bike Stations'!A14</f>
        <v>Craigcrook Square</v>
      </c>
      <c r="B14">
        <f>VLOOKUP(A14, 'Bike Stations'!$A$2:$B14, 2, FALSE) * VLOOKUP("Weekly", 'Maintenance Activities'!$A$2:$B$5, 2, FALSE) /60</f>
        <v>0.83333333333333337</v>
      </c>
      <c r="C14">
        <f>VLOOKUP(A14, 'Bike Stations'!$A$2:$B$255, 2, FALSE) * VLOOKUP("Monthly", 'Maintenance Activities'!$A$2:$B$5, 2, FALSE) /60</f>
        <v>2.5</v>
      </c>
      <c r="D14">
        <f>VLOOKUP(A14, 'Bike Stations'!$A$2:$B$255, 2, FALSE) * VLOOKUP("Biannual", 'Maintenance Activities'!$A$2:$B$5, 2, FALSE) / 60</f>
        <v>5</v>
      </c>
      <c r="E14">
        <f>VLOOKUP(A14, 'Bike Stations'!$A$2:$B$255, 2, FALSE) * VLOOKUP("Annual", 'Maintenance Activities'!$A$2:$B$5, 2, FALSE) / 60</f>
        <v>10</v>
      </c>
      <c r="F14" s="5">
        <f t="shared" si="0"/>
        <v>18.333333333333336</v>
      </c>
    </row>
    <row r="15" spans="1:6" x14ac:dyDescent="0.35">
      <c r="A15" t="str">
        <f>'Bike Stations'!A15</f>
        <v>Liberton Place</v>
      </c>
      <c r="B15">
        <f>VLOOKUP(A15, 'Bike Stations'!$A$2:$B15, 2, FALSE) * VLOOKUP("Weekly", 'Maintenance Activities'!$A$2:$B$5, 2, FALSE) /60</f>
        <v>0.83333333333333337</v>
      </c>
      <c r="C15">
        <f>VLOOKUP(A15, 'Bike Stations'!$A$2:$B$255, 2, FALSE) * VLOOKUP("Monthly", 'Maintenance Activities'!$A$2:$B$5, 2, FALSE) /60</f>
        <v>2.5</v>
      </c>
      <c r="D15">
        <f>VLOOKUP(A15, 'Bike Stations'!$A$2:$B$255, 2, FALSE) * VLOOKUP("Biannual", 'Maintenance Activities'!$A$2:$B$5, 2, FALSE) / 60</f>
        <v>5</v>
      </c>
      <c r="E15">
        <f>VLOOKUP(A15, 'Bike Stations'!$A$2:$B$255, 2, FALSE) * VLOOKUP("Annual", 'Maintenance Activities'!$A$2:$B$5, 2, FALSE) / 60</f>
        <v>10</v>
      </c>
      <c r="F15" s="5">
        <f t="shared" si="0"/>
        <v>18.333333333333336</v>
      </c>
    </row>
    <row r="16" spans="1:6" x14ac:dyDescent="0.35">
      <c r="A16" t="str">
        <f>'Bike Stations'!A16</f>
        <v>Craiglockheart Road North</v>
      </c>
      <c r="B16">
        <f>VLOOKUP(A16, 'Bike Stations'!$A$2:$B16, 2, FALSE) * VLOOKUP("Weekly", 'Maintenance Activities'!$A$2:$B$5, 2, FALSE) /60</f>
        <v>0.83333333333333337</v>
      </c>
      <c r="C16">
        <f>VLOOKUP(A16, 'Bike Stations'!$A$2:$B$255, 2, FALSE) * VLOOKUP("Monthly", 'Maintenance Activities'!$A$2:$B$5, 2, FALSE) /60</f>
        <v>2.5</v>
      </c>
      <c r="D16">
        <f>VLOOKUP(A16, 'Bike Stations'!$A$2:$B$255, 2, FALSE) * VLOOKUP("Biannual", 'Maintenance Activities'!$A$2:$B$5, 2, FALSE) / 60</f>
        <v>5</v>
      </c>
      <c r="E16">
        <f>VLOOKUP(A16, 'Bike Stations'!$A$2:$B$255, 2, FALSE) * VLOOKUP("Annual", 'Maintenance Activities'!$A$2:$B$5, 2, FALSE) / 60</f>
        <v>10</v>
      </c>
      <c r="F16" s="5">
        <f t="shared" si="0"/>
        <v>18.333333333333336</v>
      </c>
    </row>
    <row r="17" spans="1:6" x14ac:dyDescent="0.35">
      <c r="A17" t="str">
        <f>'Bike Stations'!A17</f>
        <v>Willowbrae Avenue</v>
      </c>
      <c r="B17">
        <f>VLOOKUP(A17, 'Bike Stations'!$A$2:$B17, 2, FALSE) * VLOOKUP("Weekly", 'Maintenance Activities'!$A$2:$B$5, 2, FALSE) /60</f>
        <v>0.83333333333333337</v>
      </c>
      <c r="C17">
        <f>VLOOKUP(A17, 'Bike Stations'!$A$2:$B$255, 2, FALSE) * VLOOKUP("Monthly", 'Maintenance Activities'!$A$2:$B$5, 2, FALSE) /60</f>
        <v>2.5</v>
      </c>
      <c r="D17">
        <f>VLOOKUP(A17, 'Bike Stations'!$A$2:$B$255, 2, FALSE) * VLOOKUP("Biannual", 'Maintenance Activities'!$A$2:$B$5, 2, FALSE) / 60</f>
        <v>5</v>
      </c>
      <c r="E17">
        <f>VLOOKUP(A17, 'Bike Stations'!$A$2:$B$255, 2, FALSE) * VLOOKUP("Annual", 'Maintenance Activities'!$A$2:$B$5, 2, FALSE) / 60</f>
        <v>10</v>
      </c>
      <c r="F17" s="5">
        <f t="shared" si="0"/>
        <v>18.333333333333336</v>
      </c>
    </row>
    <row r="18" spans="1:6" x14ac:dyDescent="0.35">
      <c r="A18" t="str">
        <f>'Bike Stations'!A18</f>
        <v>Morningside Road</v>
      </c>
      <c r="B18">
        <f>VLOOKUP(A18, 'Bike Stations'!$A$2:$B18, 2, FALSE) * VLOOKUP("Weekly", 'Maintenance Activities'!$A$2:$B$5, 2, FALSE) /60</f>
        <v>9.1666666666666661</v>
      </c>
      <c r="C18">
        <f>VLOOKUP(A18, 'Bike Stations'!$A$2:$B$255, 2, FALSE) * VLOOKUP("Monthly", 'Maintenance Activities'!$A$2:$B$5, 2, FALSE) /60</f>
        <v>27.5</v>
      </c>
      <c r="D18">
        <f>VLOOKUP(A18, 'Bike Stations'!$A$2:$B$255, 2, FALSE) * VLOOKUP("Biannual", 'Maintenance Activities'!$A$2:$B$5, 2, FALSE) / 60</f>
        <v>55</v>
      </c>
      <c r="E18">
        <f>VLOOKUP(A18, 'Bike Stations'!$A$2:$B$255, 2, FALSE) * VLOOKUP("Annual", 'Maintenance Activities'!$A$2:$B$5, 2, FALSE) / 60</f>
        <v>110</v>
      </c>
      <c r="F18" s="5">
        <f t="shared" si="0"/>
        <v>201.66666666666666</v>
      </c>
    </row>
    <row r="19" spans="1:6" x14ac:dyDescent="0.35">
      <c r="A19" t="str">
        <f>'Bike Stations'!A19</f>
        <v>Hill Street</v>
      </c>
      <c r="B19">
        <f>VLOOKUP(A19, 'Bike Stations'!$A$2:$B19, 2, FALSE) * VLOOKUP("Weekly", 'Maintenance Activities'!$A$2:$B$5, 2, FALSE) /60</f>
        <v>0</v>
      </c>
      <c r="C19">
        <f>VLOOKUP(A19, 'Bike Stations'!$A$2:$B$255, 2, FALSE) * VLOOKUP("Monthly", 'Maintenance Activities'!$A$2:$B$5, 2, FALSE) /60</f>
        <v>0</v>
      </c>
      <c r="D19">
        <f>VLOOKUP(A19, 'Bike Stations'!$A$2:$B$255, 2, FALSE) * VLOOKUP("Biannual", 'Maintenance Activities'!$A$2:$B$5, 2, FALSE) / 60</f>
        <v>0</v>
      </c>
      <c r="E19">
        <f>VLOOKUP(A19, 'Bike Stations'!$A$2:$B$255, 2, FALSE) * VLOOKUP("Annual", 'Maintenance Activities'!$A$2:$B$5, 2, FALSE) / 60</f>
        <v>0</v>
      </c>
      <c r="F19" s="5">
        <f t="shared" si="0"/>
        <v>0</v>
      </c>
    </row>
    <row r="20" spans="1:6" x14ac:dyDescent="0.35">
      <c r="A20" t="str">
        <f>'Bike Stations'!A20</f>
        <v>Whitehouse Road</v>
      </c>
      <c r="B20">
        <f>VLOOKUP(A20, 'Bike Stations'!$A$2:$B20, 2, FALSE) * VLOOKUP("Weekly", 'Maintenance Activities'!$A$2:$B$5, 2, FALSE) /60</f>
        <v>0.83333333333333337</v>
      </c>
      <c r="C20">
        <f>VLOOKUP(A20, 'Bike Stations'!$A$2:$B$255, 2, FALSE) * VLOOKUP("Monthly", 'Maintenance Activities'!$A$2:$B$5, 2, FALSE) /60</f>
        <v>2.5</v>
      </c>
      <c r="D20">
        <f>VLOOKUP(A20, 'Bike Stations'!$A$2:$B$255, 2, FALSE) * VLOOKUP("Biannual", 'Maintenance Activities'!$A$2:$B$5, 2, FALSE) / 60</f>
        <v>5</v>
      </c>
      <c r="E20">
        <f>VLOOKUP(A20, 'Bike Stations'!$A$2:$B$255, 2, FALSE) * VLOOKUP("Annual", 'Maintenance Activities'!$A$2:$B$5, 2, FALSE) / 60</f>
        <v>10</v>
      </c>
      <c r="F20" s="5">
        <f t="shared" si="0"/>
        <v>18.333333333333336</v>
      </c>
    </row>
    <row r="21" spans="1:6" x14ac:dyDescent="0.35">
      <c r="A21" t="str">
        <f>'Bike Stations'!A21</f>
        <v>Brunstane Road</v>
      </c>
      <c r="B21">
        <f>VLOOKUP(A21, 'Bike Stations'!$A$2:$B21, 2, FALSE) * VLOOKUP("Weekly", 'Maintenance Activities'!$A$2:$B$5, 2, FALSE) /60</f>
        <v>0.83333333333333337</v>
      </c>
      <c r="C21">
        <f>VLOOKUP(A21, 'Bike Stations'!$A$2:$B$255, 2, FALSE) * VLOOKUP("Monthly", 'Maintenance Activities'!$A$2:$B$5, 2, FALSE) /60</f>
        <v>2.5</v>
      </c>
      <c r="D21">
        <f>VLOOKUP(A21, 'Bike Stations'!$A$2:$B$255, 2, FALSE) * VLOOKUP("Biannual", 'Maintenance Activities'!$A$2:$B$5, 2, FALSE) / 60</f>
        <v>5</v>
      </c>
      <c r="E21">
        <f>VLOOKUP(A21, 'Bike Stations'!$A$2:$B$255, 2, FALSE) * VLOOKUP("Annual", 'Maintenance Activities'!$A$2:$B$5, 2, FALSE) / 60</f>
        <v>10</v>
      </c>
      <c r="F21" s="5">
        <f t="shared" si="0"/>
        <v>18.333333333333336</v>
      </c>
    </row>
    <row r="22" spans="1:6" x14ac:dyDescent="0.35">
      <c r="A22" t="str">
        <f>'Bike Stations'!A22</f>
        <v>St. John's Road</v>
      </c>
      <c r="B22">
        <f>VLOOKUP(A22, 'Bike Stations'!$A$2:$B22, 2, FALSE) * VLOOKUP("Weekly", 'Maintenance Activities'!$A$2:$B$5, 2, FALSE) /60</f>
        <v>0.83333333333333337</v>
      </c>
      <c r="C22">
        <f>VLOOKUP(A22, 'Bike Stations'!$A$2:$B$255, 2, FALSE) * VLOOKUP("Monthly", 'Maintenance Activities'!$A$2:$B$5, 2, FALSE) /60</f>
        <v>2.5</v>
      </c>
      <c r="D22">
        <f>VLOOKUP(A22, 'Bike Stations'!$A$2:$B$255, 2, FALSE) * VLOOKUP("Biannual", 'Maintenance Activities'!$A$2:$B$5, 2, FALSE) / 60</f>
        <v>5</v>
      </c>
      <c r="E22">
        <f>VLOOKUP(A22, 'Bike Stations'!$A$2:$B$255, 2, FALSE) * VLOOKUP("Annual", 'Maintenance Activities'!$A$2:$B$5, 2, FALSE) / 60</f>
        <v>10</v>
      </c>
      <c r="F22" s="5">
        <f t="shared" si="0"/>
        <v>18.333333333333336</v>
      </c>
    </row>
    <row r="23" spans="1:6" x14ac:dyDescent="0.35">
      <c r="A23" t="str">
        <f>'Bike Stations'!A23</f>
        <v>Lanark Road</v>
      </c>
      <c r="B23">
        <f>VLOOKUP(A23, 'Bike Stations'!$A$2:$B23, 2, FALSE) * VLOOKUP("Weekly", 'Maintenance Activities'!$A$2:$B$5, 2, FALSE) /60</f>
        <v>0</v>
      </c>
      <c r="C23">
        <f>VLOOKUP(A23, 'Bike Stations'!$A$2:$B$255, 2, FALSE) * VLOOKUP("Monthly", 'Maintenance Activities'!$A$2:$B$5, 2, FALSE) /60</f>
        <v>0</v>
      </c>
      <c r="D23">
        <f>VLOOKUP(A23, 'Bike Stations'!$A$2:$B$255, 2, FALSE) * VLOOKUP("Biannual", 'Maintenance Activities'!$A$2:$B$5, 2, FALSE) / 60</f>
        <v>0</v>
      </c>
      <c r="E23">
        <f>VLOOKUP(A23, 'Bike Stations'!$A$2:$B$255, 2, FALSE) * VLOOKUP("Annual", 'Maintenance Activities'!$A$2:$B$5, 2, FALSE) / 60</f>
        <v>0</v>
      </c>
      <c r="F23" s="5">
        <f t="shared" si="0"/>
        <v>0</v>
      </c>
    </row>
    <row r="24" spans="1:6" x14ac:dyDescent="0.35">
      <c r="A24" t="str">
        <f>'Bike Stations'!A24</f>
        <v>Ferry Road</v>
      </c>
      <c r="B24">
        <f>VLOOKUP(A24, 'Bike Stations'!$A$2:$B24, 2, FALSE) * VLOOKUP("Weekly", 'Maintenance Activities'!$A$2:$B$5, 2, FALSE) /60</f>
        <v>9.1666666666666661</v>
      </c>
      <c r="C24">
        <f>VLOOKUP(A24, 'Bike Stations'!$A$2:$B$255, 2, FALSE) * VLOOKUP("Monthly", 'Maintenance Activities'!$A$2:$B$5, 2, FALSE) /60</f>
        <v>27.5</v>
      </c>
      <c r="D24">
        <f>VLOOKUP(A24, 'Bike Stations'!$A$2:$B$255, 2, FALSE) * VLOOKUP("Biannual", 'Maintenance Activities'!$A$2:$B$5, 2, FALSE) / 60</f>
        <v>55</v>
      </c>
      <c r="E24">
        <f>VLOOKUP(A24, 'Bike Stations'!$A$2:$B$255, 2, FALSE) * VLOOKUP("Annual", 'Maintenance Activities'!$A$2:$B$5, 2, FALSE) / 60</f>
        <v>110</v>
      </c>
      <c r="F24" s="5">
        <f t="shared" si="0"/>
        <v>201.66666666666666</v>
      </c>
    </row>
    <row r="25" spans="1:6" x14ac:dyDescent="0.35">
      <c r="A25" t="str">
        <f>'Bike Stations'!A25</f>
        <v>Pilton Avenue</v>
      </c>
      <c r="B25">
        <f>VLOOKUP(A25, 'Bike Stations'!$A$2:$B25, 2, FALSE) * VLOOKUP("Weekly", 'Maintenance Activities'!$A$2:$B$5, 2, FALSE) /60</f>
        <v>0</v>
      </c>
      <c r="C25">
        <f>VLOOKUP(A25, 'Bike Stations'!$A$2:$B$255, 2, FALSE) * VLOOKUP("Monthly", 'Maintenance Activities'!$A$2:$B$5, 2, FALSE) /60</f>
        <v>0</v>
      </c>
      <c r="D25">
        <f>VLOOKUP(A25, 'Bike Stations'!$A$2:$B$255, 2, FALSE) * VLOOKUP("Biannual", 'Maintenance Activities'!$A$2:$B$5, 2, FALSE) / 60</f>
        <v>0</v>
      </c>
      <c r="E25">
        <f>VLOOKUP(A25, 'Bike Stations'!$A$2:$B$255, 2, FALSE) * VLOOKUP("Annual", 'Maintenance Activities'!$A$2:$B$5, 2, FALSE) / 60</f>
        <v>0</v>
      </c>
      <c r="F25" s="5">
        <f t="shared" si="0"/>
        <v>0</v>
      </c>
    </row>
    <row r="26" spans="1:6" x14ac:dyDescent="0.35">
      <c r="A26" t="str">
        <f>'Bike Stations'!A26</f>
        <v>Moredun Dykes Road</v>
      </c>
      <c r="B26">
        <f>VLOOKUP(A26, 'Bike Stations'!$A$2:$B26, 2, FALSE) * VLOOKUP("Weekly", 'Maintenance Activities'!$A$2:$B$5, 2, FALSE) /60</f>
        <v>0</v>
      </c>
      <c r="C26">
        <f>VLOOKUP(A26, 'Bike Stations'!$A$2:$B$255, 2, FALSE) * VLOOKUP("Monthly", 'Maintenance Activities'!$A$2:$B$5, 2, FALSE) /60</f>
        <v>0</v>
      </c>
      <c r="D26">
        <f>VLOOKUP(A26, 'Bike Stations'!$A$2:$B$255, 2, FALSE) * VLOOKUP("Biannual", 'Maintenance Activities'!$A$2:$B$5, 2, FALSE) / 60</f>
        <v>0</v>
      </c>
      <c r="E26">
        <f>VLOOKUP(A26, 'Bike Stations'!$A$2:$B$255, 2, FALSE) * VLOOKUP("Annual", 'Maintenance Activities'!$A$2:$B$5, 2, FALSE) / 60</f>
        <v>0</v>
      </c>
      <c r="F26" s="5">
        <f t="shared" si="0"/>
        <v>0</v>
      </c>
    </row>
    <row r="27" spans="1:6" x14ac:dyDescent="0.35">
      <c r="A27" t="str">
        <f>'Bike Stations'!A27</f>
        <v>Craigleith Hill Avenue</v>
      </c>
      <c r="B27">
        <f>VLOOKUP(A27, 'Bike Stations'!$A$2:$B27, 2, FALSE) * VLOOKUP("Weekly", 'Maintenance Activities'!$A$2:$B$5, 2, FALSE) /60</f>
        <v>0.83333333333333337</v>
      </c>
      <c r="C27">
        <f>VLOOKUP(A27, 'Bike Stations'!$A$2:$B$255, 2, FALSE) * VLOOKUP("Monthly", 'Maintenance Activities'!$A$2:$B$5, 2, FALSE) /60</f>
        <v>2.5</v>
      </c>
      <c r="D27">
        <f>VLOOKUP(A27, 'Bike Stations'!$A$2:$B$255, 2, FALSE) * VLOOKUP("Biannual", 'Maintenance Activities'!$A$2:$B$5, 2, FALSE) / 60</f>
        <v>5</v>
      </c>
      <c r="E27">
        <f>VLOOKUP(A27, 'Bike Stations'!$A$2:$B$255, 2, FALSE) * VLOOKUP("Annual", 'Maintenance Activities'!$A$2:$B$5, 2, FALSE) / 60</f>
        <v>10</v>
      </c>
      <c r="F27" s="5">
        <f t="shared" si="0"/>
        <v>18.333333333333336</v>
      </c>
    </row>
    <row r="28" spans="1:6" x14ac:dyDescent="0.35">
      <c r="A28" t="str">
        <f>'Bike Stations'!A28</f>
        <v>Dovecot Crescent</v>
      </c>
      <c r="B28">
        <f>VLOOKUP(A28, 'Bike Stations'!$A$2:$B28, 2, FALSE) * VLOOKUP("Weekly", 'Maintenance Activities'!$A$2:$B$5, 2, FALSE) /60</f>
        <v>0</v>
      </c>
      <c r="C28">
        <f>VLOOKUP(A28, 'Bike Stations'!$A$2:$B$255, 2, FALSE) * VLOOKUP("Monthly", 'Maintenance Activities'!$A$2:$B$5, 2, FALSE) /60</f>
        <v>0</v>
      </c>
      <c r="D28">
        <f>VLOOKUP(A28, 'Bike Stations'!$A$2:$B$255, 2, FALSE) * VLOOKUP("Biannual", 'Maintenance Activities'!$A$2:$B$5, 2, FALSE) / 60</f>
        <v>0</v>
      </c>
      <c r="E28">
        <f>VLOOKUP(A28, 'Bike Stations'!$A$2:$B$255, 2, FALSE) * VLOOKUP("Annual", 'Maintenance Activities'!$A$2:$B$5, 2, FALSE) / 60</f>
        <v>0</v>
      </c>
      <c r="F28" s="5">
        <f t="shared" si="0"/>
        <v>0</v>
      </c>
    </row>
    <row r="29" spans="1:6" x14ac:dyDescent="0.35">
      <c r="A29" t="str">
        <f>'Bike Stations'!A29</f>
        <v>Newbattle Abbey Crescent</v>
      </c>
      <c r="B29">
        <f>VLOOKUP(A29, 'Bike Stations'!$A$2:$B29, 2, FALSE) * VLOOKUP("Weekly", 'Maintenance Activities'!$A$2:$B$5, 2, FALSE) /60</f>
        <v>0</v>
      </c>
      <c r="C29">
        <f>VLOOKUP(A29, 'Bike Stations'!$A$2:$B$255, 2, FALSE) * VLOOKUP("Monthly", 'Maintenance Activities'!$A$2:$B$5, 2, FALSE) /60</f>
        <v>0</v>
      </c>
      <c r="D29">
        <f>VLOOKUP(A29, 'Bike Stations'!$A$2:$B$255, 2, FALSE) * VLOOKUP("Biannual", 'Maintenance Activities'!$A$2:$B$5, 2, FALSE) / 60</f>
        <v>0</v>
      </c>
      <c r="E29">
        <f>VLOOKUP(A29, 'Bike Stations'!$A$2:$B$255, 2, FALSE) * VLOOKUP("Annual", 'Maintenance Activities'!$A$2:$B$5, 2, FALSE) / 60</f>
        <v>0</v>
      </c>
      <c r="F29" s="5">
        <f t="shared" si="0"/>
        <v>0</v>
      </c>
    </row>
    <row r="30" spans="1:6" x14ac:dyDescent="0.35">
      <c r="A30" t="str">
        <f>'Bike Stations'!A30</f>
        <v>Lauder Road</v>
      </c>
      <c r="B30">
        <f>VLOOKUP(A30, 'Bike Stations'!$A$2:$B30, 2, FALSE) * VLOOKUP("Weekly", 'Maintenance Activities'!$A$2:$B$5, 2, FALSE) /60</f>
        <v>0</v>
      </c>
      <c r="C30">
        <f>VLOOKUP(A30, 'Bike Stations'!$A$2:$B$255, 2, FALSE) * VLOOKUP("Monthly", 'Maintenance Activities'!$A$2:$B$5, 2, FALSE) /60</f>
        <v>0</v>
      </c>
      <c r="D30">
        <f>VLOOKUP(A30, 'Bike Stations'!$A$2:$B$255, 2, FALSE) * VLOOKUP("Biannual", 'Maintenance Activities'!$A$2:$B$5, 2, FALSE) / 60</f>
        <v>0</v>
      </c>
      <c r="E30">
        <f>VLOOKUP(A30, 'Bike Stations'!$A$2:$B$255, 2, FALSE) * VLOOKUP("Annual", 'Maintenance Activities'!$A$2:$B$5, 2, FALSE) / 60</f>
        <v>0</v>
      </c>
      <c r="F30" s="5">
        <f t="shared" si="0"/>
        <v>0</v>
      </c>
    </row>
    <row r="31" spans="1:6" x14ac:dyDescent="0.35">
      <c r="A31" t="str">
        <f>'Bike Stations'!A31</f>
        <v>Easter Currie Place</v>
      </c>
      <c r="B31">
        <f>VLOOKUP(A31, 'Bike Stations'!$A$2:$B31, 2, FALSE) * VLOOKUP("Weekly", 'Maintenance Activities'!$A$2:$B$5, 2, FALSE) /60</f>
        <v>0.83333333333333337</v>
      </c>
      <c r="C31">
        <f>VLOOKUP(A31, 'Bike Stations'!$A$2:$B$255, 2, FALSE) * VLOOKUP("Monthly", 'Maintenance Activities'!$A$2:$B$5, 2, FALSE) /60</f>
        <v>2.5</v>
      </c>
      <c r="D31">
        <f>VLOOKUP(A31, 'Bike Stations'!$A$2:$B$255, 2, FALSE) * VLOOKUP("Biannual", 'Maintenance Activities'!$A$2:$B$5, 2, FALSE) / 60</f>
        <v>5</v>
      </c>
      <c r="E31">
        <f>VLOOKUP(A31, 'Bike Stations'!$A$2:$B$255, 2, FALSE) * VLOOKUP("Annual", 'Maintenance Activities'!$A$2:$B$5, 2, FALSE) / 60</f>
        <v>10</v>
      </c>
      <c r="F31" s="5">
        <f t="shared" si="0"/>
        <v>18.333333333333336</v>
      </c>
    </row>
    <row r="32" spans="1:6" x14ac:dyDescent="0.35">
      <c r="A32" t="str">
        <f>'Bike Stations'!A32</f>
        <v>Mountcastle Gardens</v>
      </c>
      <c r="B32">
        <f>VLOOKUP(A32, 'Bike Stations'!$A$2:$B32, 2, FALSE) * VLOOKUP("Weekly", 'Maintenance Activities'!$A$2:$B$5, 2, FALSE) /60</f>
        <v>0.83333333333333337</v>
      </c>
      <c r="C32">
        <f>VLOOKUP(A32, 'Bike Stations'!$A$2:$B$255, 2, FALSE) * VLOOKUP("Monthly", 'Maintenance Activities'!$A$2:$B$5, 2, FALSE) /60</f>
        <v>2.5</v>
      </c>
      <c r="D32">
        <f>VLOOKUP(A32, 'Bike Stations'!$A$2:$B$255, 2, FALSE) * VLOOKUP("Biannual", 'Maintenance Activities'!$A$2:$B$5, 2, FALSE) / 60</f>
        <v>5</v>
      </c>
      <c r="E32">
        <f>VLOOKUP(A32, 'Bike Stations'!$A$2:$B$255, 2, FALSE) * VLOOKUP("Annual", 'Maintenance Activities'!$A$2:$B$5, 2, FALSE) / 60</f>
        <v>10</v>
      </c>
      <c r="F32" s="5">
        <f t="shared" si="0"/>
        <v>18.333333333333336</v>
      </c>
    </row>
    <row r="33" spans="1:6" x14ac:dyDescent="0.35">
      <c r="A33" t="str">
        <f>'Bike Stations'!A33</f>
        <v>Buckstone Road</v>
      </c>
      <c r="B33">
        <f>VLOOKUP(A33, 'Bike Stations'!$A$2:$B33, 2, FALSE) * VLOOKUP("Weekly", 'Maintenance Activities'!$A$2:$B$5, 2, FALSE) /60</f>
        <v>0.83333333333333337</v>
      </c>
      <c r="C33">
        <f>VLOOKUP(A33, 'Bike Stations'!$A$2:$B$255, 2, FALSE) * VLOOKUP("Monthly", 'Maintenance Activities'!$A$2:$B$5, 2, FALSE) /60</f>
        <v>2.5</v>
      </c>
      <c r="D33">
        <f>VLOOKUP(A33, 'Bike Stations'!$A$2:$B$255, 2, FALSE) * VLOOKUP("Biannual", 'Maintenance Activities'!$A$2:$B$5, 2, FALSE) / 60</f>
        <v>5</v>
      </c>
      <c r="E33">
        <f>VLOOKUP(A33, 'Bike Stations'!$A$2:$B$255, 2, FALSE) * VLOOKUP("Annual", 'Maintenance Activities'!$A$2:$B$5, 2, FALSE) / 60</f>
        <v>10</v>
      </c>
      <c r="F33" s="5">
        <f t="shared" si="0"/>
        <v>18.333333333333336</v>
      </c>
    </row>
    <row r="34" spans="1:6" x14ac:dyDescent="0.35">
      <c r="A34" t="str">
        <f>'Bike Stations'!A34</f>
        <v>Saughtonhall Gardens</v>
      </c>
      <c r="B34">
        <f>VLOOKUP(A34, 'Bike Stations'!$A$2:$B34, 2, FALSE) * VLOOKUP("Weekly", 'Maintenance Activities'!$A$2:$B$5, 2, FALSE) /60</f>
        <v>0.83333333333333337</v>
      </c>
      <c r="C34">
        <f>VLOOKUP(A34, 'Bike Stations'!$A$2:$B$255, 2, FALSE) * VLOOKUP("Monthly", 'Maintenance Activities'!$A$2:$B$5, 2, FALSE) /60</f>
        <v>2.5</v>
      </c>
      <c r="D34">
        <f>VLOOKUP(A34, 'Bike Stations'!$A$2:$B$255, 2, FALSE) * VLOOKUP("Biannual", 'Maintenance Activities'!$A$2:$B$5, 2, FALSE) / 60</f>
        <v>5</v>
      </c>
      <c r="E34">
        <f>VLOOKUP(A34, 'Bike Stations'!$A$2:$B$255, 2, FALSE) * VLOOKUP("Annual", 'Maintenance Activities'!$A$2:$B$5, 2, FALSE) / 60</f>
        <v>10</v>
      </c>
      <c r="F34" s="5">
        <f t="shared" si="0"/>
        <v>18.333333333333336</v>
      </c>
    </row>
    <row r="35" spans="1:6" x14ac:dyDescent="0.35">
      <c r="A35" t="str">
        <f>'Bike Stations'!A35</f>
        <v>Priestfield Road-Prestonfield Avenue</v>
      </c>
      <c r="B35">
        <f>VLOOKUP(A35, 'Bike Stations'!$A$2:$B35, 2, FALSE) * VLOOKUP("Weekly", 'Maintenance Activities'!$A$2:$B$5, 2, FALSE) /60</f>
        <v>9.1666666666666661</v>
      </c>
      <c r="C35">
        <f>VLOOKUP(A35, 'Bike Stations'!$A$2:$B$255, 2, FALSE) * VLOOKUP("Monthly", 'Maintenance Activities'!$A$2:$B$5, 2, FALSE) /60</f>
        <v>27.5</v>
      </c>
      <c r="D35">
        <f>VLOOKUP(A35, 'Bike Stations'!$A$2:$B$255, 2, FALSE) * VLOOKUP("Biannual", 'Maintenance Activities'!$A$2:$B$5, 2, FALSE) / 60</f>
        <v>55</v>
      </c>
      <c r="E35">
        <f>VLOOKUP(A35, 'Bike Stations'!$A$2:$B$255, 2, FALSE) * VLOOKUP("Annual", 'Maintenance Activities'!$A$2:$B$5, 2, FALSE) / 60</f>
        <v>110</v>
      </c>
      <c r="F35" s="5">
        <f t="shared" si="0"/>
        <v>201.66666666666666</v>
      </c>
    </row>
    <row r="36" spans="1:6" x14ac:dyDescent="0.35">
      <c r="A36" t="str">
        <f>'Bike Stations'!A36</f>
        <v>Prospect Bank Road</v>
      </c>
      <c r="B36">
        <f>VLOOKUP(A36, 'Bike Stations'!$A$2:$B36, 2, FALSE) * VLOOKUP("Weekly", 'Maintenance Activities'!$A$2:$B$5, 2, FALSE) /60</f>
        <v>0.83333333333333337</v>
      </c>
      <c r="C36">
        <f>VLOOKUP(A36, 'Bike Stations'!$A$2:$B$255, 2, FALSE) * VLOOKUP("Monthly", 'Maintenance Activities'!$A$2:$B$5, 2, FALSE) /60</f>
        <v>2.5</v>
      </c>
      <c r="D36">
        <f>VLOOKUP(A36, 'Bike Stations'!$A$2:$B$255, 2, FALSE) * VLOOKUP("Biannual", 'Maintenance Activities'!$A$2:$B$5, 2, FALSE) / 60</f>
        <v>5</v>
      </c>
      <c r="E36">
        <f>VLOOKUP(A36, 'Bike Stations'!$A$2:$B$255, 2, FALSE) * VLOOKUP("Annual", 'Maintenance Activities'!$A$2:$B$5, 2, FALSE) / 60</f>
        <v>10</v>
      </c>
      <c r="F36" s="5">
        <f t="shared" si="0"/>
        <v>18.333333333333336</v>
      </c>
    </row>
    <row r="37" spans="1:6" x14ac:dyDescent="0.35">
      <c r="A37" t="str">
        <f>'Bike Stations'!A37</f>
        <v>Wester Hailes Road</v>
      </c>
      <c r="B37">
        <f>VLOOKUP(A37, 'Bike Stations'!$A$2:$B37, 2, FALSE) * VLOOKUP("Weekly", 'Maintenance Activities'!$A$2:$B$5, 2, FALSE) /60</f>
        <v>0.83333333333333337</v>
      </c>
      <c r="C37">
        <f>VLOOKUP(A37, 'Bike Stations'!$A$2:$B$255, 2, FALSE) * VLOOKUP("Monthly", 'Maintenance Activities'!$A$2:$B$5, 2, FALSE) /60</f>
        <v>2.5</v>
      </c>
      <c r="D37">
        <f>VLOOKUP(A37, 'Bike Stations'!$A$2:$B$255, 2, FALSE) * VLOOKUP("Biannual", 'Maintenance Activities'!$A$2:$B$5, 2, FALSE) / 60</f>
        <v>5</v>
      </c>
      <c r="E37">
        <f>VLOOKUP(A37, 'Bike Stations'!$A$2:$B$255, 2, FALSE) * VLOOKUP("Annual", 'Maintenance Activities'!$A$2:$B$5, 2, FALSE) / 60</f>
        <v>10</v>
      </c>
      <c r="F37" s="5">
        <f t="shared" si="0"/>
        <v>18.333333333333336</v>
      </c>
    </row>
    <row r="38" spans="1:6" x14ac:dyDescent="0.35">
      <c r="A38" t="str">
        <f>'Bike Stations'!A38</f>
        <v>Bangholm Loan</v>
      </c>
      <c r="B38">
        <f>VLOOKUP(A38, 'Bike Stations'!$A$2:$B38, 2, FALSE) * VLOOKUP("Weekly", 'Maintenance Activities'!$A$2:$B$5, 2, FALSE) /60</f>
        <v>0.83333333333333337</v>
      </c>
      <c r="C38">
        <f>VLOOKUP(A38, 'Bike Stations'!$A$2:$B$255, 2, FALSE) * VLOOKUP("Monthly", 'Maintenance Activities'!$A$2:$B$5, 2, FALSE) /60</f>
        <v>2.5</v>
      </c>
      <c r="D38">
        <f>VLOOKUP(A38, 'Bike Stations'!$A$2:$B$255, 2, FALSE) * VLOOKUP("Biannual", 'Maintenance Activities'!$A$2:$B$5, 2, FALSE) / 60</f>
        <v>5</v>
      </c>
      <c r="E38">
        <f>VLOOKUP(A38, 'Bike Stations'!$A$2:$B$255, 2, FALSE) * VLOOKUP("Annual", 'Maintenance Activities'!$A$2:$B$5, 2, FALSE) / 60</f>
        <v>10</v>
      </c>
      <c r="F38" s="5">
        <f t="shared" si="0"/>
        <v>18.333333333333336</v>
      </c>
    </row>
    <row r="39" spans="1:6" x14ac:dyDescent="0.35">
      <c r="A39" t="str">
        <f>'Bike Stations'!A39</f>
        <v>Southfield Gardens West</v>
      </c>
      <c r="B39">
        <f>VLOOKUP(A39, 'Bike Stations'!$A$2:$B39, 2, FALSE) * VLOOKUP("Weekly", 'Maintenance Activities'!$A$2:$B$5, 2, FALSE) /60</f>
        <v>0.83333333333333337</v>
      </c>
      <c r="C39">
        <f>VLOOKUP(A39, 'Bike Stations'!$A$2:$B$255, 2, FALSE) * VLOOKUP("Monthly", 'Maintenance Activities'!$A$2:$B$5, 2, FALSE) /60</f>
        <v>2.5</v>
      </c>
      <c r="D39">
        <f>VLOOKUP(A39, 'Bike Stations'!$A$2:$B$255, 2, FALSE) * VLOOKUP("Biannual", 'Maintenance Activities'!$A$2:$B$5, 2, FALSE) / 60</f>
        <v>5</v>
      </c>
      <c r="E39">
        <f>VLOOKUP(A39, 'Bike Stations'!$A$2:$B$255, 2, FALSE) * VLOOKUP("Annual", 'Maintenance Activities'!$A$2:$B$5, 2, FALSE) / 60</f>
        <v>10</v>
      </c>
      <c r="F39" s="5">
        <f t="shared" si="0"/>
        <v>18.333333333333336</v>
      </c>
    </row>
    <row r="40" spans="1:6" x14ac:dyDescent="0.35">
      <c r="A40" t="str">
        <f>'Bike Stations'!A40</f>
        <v>Burnbrae</v>
      </c>
      <c r="B40">
        <f>VLOOKUP(A40, 'Bike Stations'!$A$2:$B40, 2, FALSE) * VLOOKUP("Weekly", 'Maintenance Activities'!$A$2:$B$5, 2, FALSE) /60</f>
        <v>0</v>
      </c>
      <c r="C40">
        <f>VLOOKUP(A40, 'Bike Stations'!$A$2:$B$255, 2, FALSE) * VLOOKUP("Monthly", 'Maintenance Activities'!$A$2:$B$5, 2, FALSE) /60</f>
        <v>0</v>
      </c>
      <c r="D40">
        <f>VLOOKUP(A40, 'Bike Stations'!$A$2:$B$255, 2, FALSE) * VLOOKUP("Biannual", 'Maintenance Activities'!$A$2:$B$5, 2, FALSE) / 60</f>
        <v>0</v>
      </c>
      <c r="E40">
        <f>VLOOKUP(A40, 'Bike Stations'!$A$2:$B$255, 2, FALSE) * VLOOKUP("Annual", 'Maintenance Activities'!$A$2:$B$5, 2, FALSE) / 60</f>
        <v>0</v>
      </c>
      <c r="F40" s="5">
        <f t="shared" si="0"/>
        <v>0</v>
      </c>
    </row>
    <row r="41" spans="1:6" x14ac:dyDescent="0.35">
      <c r="A41" t="str">
        <f>'Bike Stations'!A41</f>
        <v>The Loan</v>
      </c>
      <c r="B41">
        <f>VLOOKUP(A41, 'Bike Stations'!$A$2:$B41, 2, FALSE) * VLOOKUP("Weekly", 'Maintenance Activities'!$A$2:$B$5, 2, FALSE) /60</f>
        <v>0</v>
      </c>
      <c r="C41">
        <f>VLOOKUP(A41, 'Bike Stations'!$A$2:$B$255, 2, FALSE) * VLOOKUP("Monthly", 'Maintenance Activities'!$A$2:$B$5, 2, FALSE) /60</f>
        <v>0</v>
      </c>
      <c r="D41">
        <f>VLOOKUP(A41, 'Bike Stations'!$A$2:$B$255, 2, FALSE) * VLOOKUP("Biannual", 'Maintenance Activities'!$A$2:$B$5, 2, FALSE) / 60</f>
        <v>0</v>
      </c>
      <c r="E41">
        <f>VLOOKUP(A41, 'Bike Stations'!$A$2:$B$255, 2, FALSE) * VLOOKUP("Annual", 'Maintenance Activities'!$A$2:$B$5, 2, FALSE) / 60</f>
        <v>0</v>
      </c>
      <c r="F41" s="5">
        <f t="shared" si="0"/>
        <v>0</v>
      </c>
    </row>
    <row r="42" spans="1:6" x14ac:dyDescent="0.35">
      <c r="A42" t="str">
        <f>'Bike Stations'!A42</f>
        <v>Milton Road East</v>
      </c>
      <c r="B42">
        <f>VLOOKUP(A42, 'Bike Stations'!$A$2:$B42, 2, FALSE) * VLOOKUP("Weekly", 'Maintenance Activities'!$A$2:$B$5, 2, FALSE) /60</f>
        <v>3.3333333333333335</v>
      </c>
      <c r="C42">
        <f>VLOOKUP(A42, 'Bike Stations'!$A$2:$B$255, 2, FALSE) * VLOOKUP("Monthly", 'Maintenance Activities'!$A$2:$B$5, 2, FALSE) /60</f>
        <v>10</v>
      </c>
      <c r="D42">
        <f>VLOOKUP(A42, 'Bike Stations'!$A$2:$B$255, 2, FALSE) * VLOOKUP("Biannual", 'Maintenance Activities'!$A$2:$B$5, 2, FALSE) / 60</f>
        <v>20</v>
      </c>
      <c r="E42">
        <f>VLOOKUP(A42, 'Bike Stations'!$A$2:$B$255, 2, FALSE) * VLOOKUP("Annual", 'Maintenance Activities'!$A$2:$B$5, 2, FALSE) / 60</f>
        <v>40</v>
      </c>
      <c r="F42" s="5">
        <f t="shared" si="0"/>
        <v>73.333333333333343</v>
      </c>
    </row>
    <row r="43" spans="1:6" x14ac:dyDescent="0.35">
      <c r="A43" t="str">
        <f>'Bike Stations'!A43</f>
        <v>Easter Road</v>
      </c>
      <c r="B43">
        <f>VLOOKUP(A43, 'Bike Stations'!$A$2:$B43, 2, FALSE) * VLOOKUP("Weekly", 'Maintenance Activities'!$A$2:$B$5, 2, FALSE) /60</f>
        <v>9.1666666666666661</v>
      </c>
      <c r="C43">
        <f>VLOOKUP(A43, 'Bike Stations'!$A$2:$B$255, 2, FALSE) * VLOOKUP("Monthly", 'Maintenance Activities'!$A$2:$B$5, 2, FALSE) /60</f>
        <v>27.5</v>
      </c>
      <c r="D43">
        <f>VLOOKUP(A43, 'Bike Stations'!$A$2:$B$255, 2, FALSE) * VLOOKUP("Biannual", 'Maintenance Activities'!$A$2:$B$5, 2, FALSE) / 60</f>
        <v>55</v>
      </c>
      <c r="E43">
        <f>VLOOKUP(A43, 'Bike Stations'!$A$2:$B$255, 2, FALSE) * VLOOKUP("Annual", 'Maintenance Activities'!$A$2:$B$5, 2, FALSE) / 60</f>
        <v>110</v>
      </c>
      <c r="F43" s="5">
        <f t="shared" si="0"/>
        <v>201.66666666666666</v>
      </c>
    </row>
    <row r="44" spans="1:6" x14ac:dyDescent="0.35">
      <c r="A44" t="str">
        <f>'Bike Stations'!A44</f>
        <v>Morningside Drive</v>
      </c>
      <c r="B44">
        <f>VLOOKUP(A44, 'Bike Stations'!$A$2:$B44, 2, FALSE) * VLOOKUP("Weekly", 'Maintenance Activities'!$A$2:$B$5, 2, FALSE) /60</f>
        <v>0.83333333333333337</v>
      </c>
      <c r="C44">
        <f>VLOOKUP(A44, 'Bike Stations'!$A$2:$B$255, 2, FALSE) * VLOOKUP("Monthly", 'Maintenance Activities'!$A$2:$B$5, 2, FALSE) /60</f>
        <v>2.5</v>
      </c>
      <c r="D44">
        <f>VLOOKUP(A44, 'Bike Stations'!$A$2:$B$255, 2, FALSE) * VLOOKUP("Biannual", 'Maintenance Activities'!$A$2:$B$5, 2, FALSE) / 60</f>
        <v>5</v>
      </c>
      <c r="E44">
        <f>VLOOKUP(A44, 'Bike Stations'!$A$2:$B$255, 2, FALSE) * VLOOKUP("Annual", 'Maintenance Activities'!$A$2:$B$5, 2, FALSE) / 60</f>
        <v>10</v>
      </c>
      <c r="F44" s="5">
        <f t="shared" si="0"/>
        <v>18.333333333333336</v>
      </c>
    </row>
    <row r="45" spans="1:6" x14ac:dyDescent="0.35">
      <c r="A45" t="str">
        <f>'Bike Stations'!A45</f>
        <v>Greenhill Gardens</v>
      </c>
      <c r="B45">
        <f>VLOOKUP(A45, 'Bike Stations'!$A$2:$B45, 2, FALSE) * VLOOKUP("Weekly", 'Maintenance Activities'!$A$2:$B$5, 2, FALSE) /60</f>
        <v>1</v>
      </c>
      <c r="C45">
        <f>VLOOKUP(A45, 'Bike Stations'!$A$2:$B$255, 2, FALSE) * VLOOKUP("Monthly", 'Maintenance Activities'!$A$2:$B$5, 2, FALSE) /60</f>
        <v>3</v>
      </c>
      <c r="D45">
        <f>VLOOKUP(A45, 'Bike Stations'!$A$2:$B$255, 2, FALSE) * VLOOKUP("Biannual", 'Maintenance Activities'!$A$2:$B$5, 2, FALSE) / 60</f>
        <v>6</v>
      </c>
      <c r="E45">
        <f>VLOOKUP(A45, 'Bike Stations'!$A$2:$B$255, 2, FALSE) * VLOOKUP("Annual", 'Maintenance Activities'!$A$2:$B$5, 2, FALSE) / 60</f>
        <v>12</v>
      </c>
      <c r="F45" s="5">
        <f t="shared" si="0"/>
        <v>22</v>
      </c>
    </row>
    <row r="46" spans="1:6" x14ac:dyDescent="0.35">
      <c r="A46" t="str">
        <f>'Bike Stations'!A46</f>
        <v>Clermiston Drive</v>
      </c>
      <c r="B46">
        <f>VLOOKUP(A46, 'Bike Stations'!$A$2:$B46, 2, FALSE) * VLOOKUP("Weekly", 'Maintenance Activities'!$A$2:$B$5, 2, FALSE) /60</f>
        <v>0</v>
      </c>
      <c r="C46">
        <f>VLOOKUP(A46, 'Bike Stations'!$A$2:$B$255, 2, FALSE) * VLOOKUP("Monthly", 'Maintenance Activities'!$A$2:$B$5, 2, FALSE) /60</f>
        <v>0</v>
      </c>
      <c r="D46">
        <f>VLOOKUP(A46, 'Bike Stations'!$A$2:$B$255, 2, FALSE) * VLOOKUP("Biannual", 'Maintenance Activities'!$A$2:$B$5, 2, FALSE) / 60</f>
        <v>0</v>
      </c>
      <c r="E46">
        <f>VLOOKUP(A46, 'Bike Stations'!$A$2:$B$255, 2, FALSE) * VLOOKUP("Annual", 'Maintenance Activities'!$A$2:$B$5, 2, FALSE) / 60</f>
        <v>0</v>
      </c>
      <c r="F46" s="5">
        <f t="shared" si="0"/>
        <v>0</v>
      </c>
    </row>
    <row r="47" spans="1:6" x14ac:dyDescent="0.35">
      <c r="A47" t="str">
        <f>'Bike Stations'!A47</f>
        <v>Burnbrae Road</v>
      </c>
      <c r="B47">
        <f>VLOOKUP(A47, 'Bike Stations'!$A$2:$B47, 2, FALSE) * VLOOKUP("Weekly", 'Maintenance Activities'!$A$2:$B$5, 2, FALSE) /60</f>
        <v>0.83333333333333337</v>
      </c>
      <c r="C47">
        <f>VLOOKUP(A47, 'Bike Stations'!$A$2:$B$255, 2, FALSE) * VLOOKUP("Monthly", 'Maintenance Activities'!$A$2:$B$5, 2, FALSE) /60</f>
        <v>2.5</v>
      </c>
      <c r="D47">
        <f>VLOOKUP(A47, 'Bike Stations'!$A$2:$B$255, 2, FALSE) * VLOOKUP("Biannual", 'Maintenance Activities'!$A$2:$B$5, 2, FALSE) / 60</f>
        <v>5</v>
      </c>
      <c r="E47">
        <f>VLOOKUP(A47, 'Bike Stations'!$A$2:$B$255, 2, FALSE) * VLOOKUP("Annual", 'Maintenance Activities'!$A$2:$B$5, 2, FALSE) / 60</f>
        <v>10</v>
      </c>
      <c r="F47" s="5">
        <f t="shared" si="0"/>
        <v>18.333333333333336</v>
      </c>
    </row>
    <row r="48" spans="1:6" x14ac:dyDescent="0.35">
      <c r="A48" t="str">
        <f>'Bike Stations'!A48</f>
        <v>South Gyle Road</v>
      </c>
      <c r="B48">
        <f>VLOOKUP(A48, 'Bike Stations'!$A$2:$B48, 2, FALSE) * VLOOKUP("Weekly", 'Maintenance Activities'!$A$2:$B$5, 2, FALSE) /60</f>
        <v>0.83333333333333337</v>
      </c>
      <c r="C48">
        <f>VLOOKUP(A48, 'Bike Stations'!$A$2:$B$255, 2, FALSE) * VLOOKUP("Monthly", 'Maintenance Activities'!$A$2:$B$5, 2, FALSE) /60</f>
        <v>2.5</v>
      </c>
      <c r="D48">
        <f>VLOOKUP(A48, 'Bike Stations'!$A$2:$B$255, 2, FALSE) * VLOOKUP("Biannual", 'Maintenance Activities'!$A$2:$B$5, 2, FALSE) / 60</f>
        <v>5</v>
      </c>
      <c r="E48">
        <f>VLOOKUP(A48, 'Bike Stations'!$A$2:$B$255, 2, FALSE) * VLOOKUP("Annual", 'Maintenance Activities'!$A$2:$B$5, 2, FALSE) / 60</f>
        <v>10</v>
      </c>
      <c r="F48" s="5">
        <f t="shared" si="0"/>
        <v>18.333333333333336</v>
      </c>
    </row>
    <row r="49" spans="1:6" x14ac:dyDescent="0.35">
      <c r="A49" t="str">
        <f>'Bike Stations'!A49</f>
        <v>Braid Road</v>
      </c>
      <c r="B49">
        <f>VLOOKUP(A49, 'Bike Stations'!$A$2:$B49, 2, FALSE) * VLOOKUP("Weekly", 'Maintenance Activities'!$A$2:$B$5, 2, FALSE) /60</f>
        <v>0.83333333333333337</v>
      </c>
      <c r="C49">
        <f>VLOOKUP(A49, 'Bike Stations'!$A$2:$B$255, 2, FALSE) * VLOOKUP("Monthly", 'Maintenance Activities'!$A$2:$B$5, 2, FALSE) /60</f>
        <v>2.5</v>
      </c>
      <c r="D49">
        <f>VLOOKUP(A49, 'Bike Stations'!$A$2:$B$255, 2, FALSE) * VLOOKUP("Biannual", 'Maintenance Activities'!$A$2:$B$5, 2, FALSE) / 60</f>
        <v>5</v>
      </c>
      <c r="E49">
        <f>VLOOKUP(A49, 'Bike Stations'!$A$2:$B$255, 2, FALSE) * VLOOKUP("Annual", 'Maintenance Activities'!$A$2:$B$5, 2, FALSE) / 60</f>
        <v>10</v>
      </c>
      <c r="F49" s="5">
        <f t="shared" si="0"/>
        <v>18.333333333333336</v>
      </c>
    </row>
    <row r="50" spans="1:6" x14ac:dyDescent="0.35">
      <c r="A50" t="str">
        <f>'Bike Stations'!A50</f>
        <v>West Pilton Drive</v>
      </c>
      <c r="B50">
        <f>VLOOKUP(A50, 'Bike Stations'!$A$2:$B50, 2, FALSE) * VLOOKUP("Weekly", 'Maintenance Activities'!$A$2:$B$5, 2, FALSE) /60</f>
        <v>0</v>
      </c>
      <c r="C50">
        <f>VLOOKUP(A50, 'Bike Stations'!$A$2:$B$255, 2, FALSE) * VLOOKUP("Monthly", 'Maintenance Activities'!$A$2:$B$5, 2, FALSE) /60</f>
        <v>0</v>
      </c>
      <c r="D50">
        <f>VLOOKUP(A50, 'Bike Stations'!$A$2:$B$255, 2, FALSE) * VLOOKUP("Biannual", 'Maintenance Activities'!$A$2:$B$5, 2, FALSE) / 60</f>
        <v>0</v>
      </c>
      <c r="E50">
        <f>VLOOKUP(A50, 'Bike Stations'!$A$2:$B$255, 2, FALSE) * VLOOKUP("Annual", 'Maintenance Activities'!$A$2:$B$5, 2, FALSE) / 60</f>
        <v>0</v>
      </c>
      <c r="F50" s="5">
        <f t="shared" si="0"/>
        <v>0</v>
      </c>
    </row>
    <row r="51" spans="1:6" x14ac:dyDescent="0.35">
      <c r="A51" t="str">
        <f>'Bike Stations'!A51</f>
        <v>Clackmae Road</v>
      </c>
      <c r="B51">
        <f>VLOOKUP(A51, 'Bike Stations'!$A$2:$B51, 2, FALSE) * VLOOKUP("Weekly", 'Maintenance Activities'!$A$2:$B$5, 2, FALSE) /60</f>
        <v>0</v>
      </c>
      <c r="C51">
        <f>VLOOKUP(A51, 'Bike Stations'!$A$2:$B$255, 2, FALSE) * VLOOKUP("Monthly", 'Maintenance Activities'!$A$2:$B$5, 2, FALSE) /60</f>
        <v>0</v>
      </c>
      <c r="D51">
        <f>VLOOKUP(A51, 'Bike Stations'!$A$2:$B$255, 2, FALSE) * VLOOKUP("Biannual", 'Maintenance Activities'!$A$2:$B$5, 2, FALSE) / 60</f>
        <v>0</v>
      </c>
      <c r="E51">
        <f>VLOOKUP(A51, 'Bike Stations'!$A$2:$B$255, 2, FALSE) * VLOOKUP("Annual", 'Maintenance Activities'!$A$2:$B$5, 2, FALSE) / 60</f>
        <v>0</v>
      </c>
      <c r="F51" s="5">
        <f t="shared" si="0"/>
        <v>0</v>
      </c>
    </row>
    <row r="52" spans="1:6" x14ac:dyDescent="0.35">
      <c r="A52" t="str">
        <f>'Bike Stations'!A52</f>
        <v>Ravelston House Road</v>
      </c>
      <c r="B52">
        <f>VLOOKUP(A52, 'Bike Stations'!$A$2:$B52, 2, FALSE) * VLOOKUP("Weekly", 'Maintenance Activities'!$A$2:$B$5, 2, FALSE) /60</f>
        <v>0.83333333333333337</v>
      </c>
      <c r="C52">
        <f>VLOOKUP(A52, 'Bike Stations'!$A$2:$B$255, 2, FALSE) * VLOOKUP("Monthly", 'Maintenance Activities'!$A$2:$B$5, 2, FALSE) /60</f>
        <v>2.5</v>
      </c>
      <c r="D52">
        <f>VLOOKUP(A52, 'Bike Stations'!$A$2:$B$255, 2, FALSE) * VLOOKUP("Biannual", 'Maintenance Activities'!$A$2:$B$5, 2, FALSE) / 60</f>
        <v>5</v>
      </c>
      <c r="E52">
        <f>VLOOKUP(A52, 'Bike Stations'!$A$2:$B$255, 2, FALSE) * VLOOKUP("Annual", 'Maintenance Activities'!$A$2:$B$5, 2, FALSE) / 60</f>
        <v>10</v>
      </c>
      <c r="F52" s="5">
        <f t="shared" si="0"/>
        <v>18.333333333333336</v>
      </c>
    </row>
    <row r="53" spans="1:6" x14ac:dyDescent="0.35">
      <c r="A53" t="str">
        <f>'Bike Stations'!A53</f>
        <v>Newcraighall Primary School</v>
      </c>
      <c r="B53">
        <f>VLOOKUP(A53, 'Bike Stations'!$A$2:$B53, 2, FALSE) * VLOOKUP("Weekly", 'Maintenance Activities'!$A$2:$B$5, 2, FALSE) /60</f>
        <v>0</v>
      </c>
      <c r="C53">
        <f>VLOOKUP(A53, 'Bike Stations'!$A$2:$B$255, 2, FALSE) * VLOOKUP("Monthly", 'Maintenance Activities'!$A$2:$B$5, 2, FALSE) /60</f>
        <v>0</v>
      </c>
      <c r="D53">
        <f>VLOOKUP(A53, 'Bike Stations'!$A$2:$B$255, 2, FALSE) * VLOOKUP("Biannual", 'Maintenance Activities'!$A$2:$B$5, 2, FALSE) / 60</f>
        <v>0</v>
      </c>
      <c r="E53">
        <f>VLOOKUP(A53, 'Bike Stations'!$A$2:$B$255, 2, FALSE) * VLOOKUP("Annual", 'Maintenance Activities'!$A$2:$B$5, 2, FALSE) / 60</f>
        <v>0</v>
      </c>
      <c r="F53" s="5">
        <f t="shared" si="0"/>
        <v>0</v>
      </c>
    </row>
    <row r="54" spans="1:6" x14ac:dyDescent="0.35">
      <c r="A54" t="str">
        <f>'Bike Stations'!A54</f>
        <v>Mansfield Road</v>
      </c>
      <c r="B54">
        <f>VLOOKUP(A54, 'Bike Stations'!$A$2:$B54, 2, FALSE) * VLOOKUP("Weekly", 'Maintenance Activities'!$A$2:$B$5, 2, FALSE) /60</f>
        <v>0</v>
      </c>
      <c r="C54">
        <f>VLOOKUP(A54, 'Bike Stations'!$A$2:$B$255, 2, FALSE) * VLOOKUP("Monthly", 'Maintenance Activities'!$A$2:$B$5, 2, FALSE) /60</f>
        <v>0</v>
      </c>
      <c r="D54">
        <f>VLOOKUP(A54, 'Bike Stations'!$A$2:$B$255, 2, FALSE) * VLOOKUP("Biannual", 'Maintenance Activities'!$A$2:$B$5, 2, FALSE) / 60</f>
        <v>0</v>
      </c>
      <c r="E54">
        <f>VLOOKUP(A54, 'Bike Stations'!$A$2:$B$255, 2, FALSE) * VLOOKUP("Annual", 'Maintenance Activities'!$A$2:$B$5, 2, FALSE) / 60</f>
        <v>0</v>
      </c>
      <c r="F54" s="5">
        <f t="shared" si="0"/>
        <v>0</v>
      </c>
    </row>
    <row r="55" spans="1:6" x14ac:dyDescent="0.35">
      <c r="A55" t="str">
        <f>'Bike Stations'!A55</f>
        <v>Research Avenue North</v>
      </c>
      <c r="B55">
        <f>VLOOKUP(A55, 'Bike Stations'!$A$2:$B55, 2, FALSE) * VLOOKUP("Weekly", 'Maintenance Activities'!$A$2:$B$5, 2, FALSE) /60</f>
        <v>9.1666666666666661</v>
      </c>
      <c r="C55">
        <f>VLOOKUP(A55, 'Bike Stations'!$A$2:$B$255, 2, FALSE) * VLOOKUP("Monthly", 'Maintenance Activities'!$A$2:$B$5, 2, FALSE) /60</f>
        <v>27.5</v>
      </c>
      <c r="D55">
        <f>VLOOKUP(A55, 'Bike Stations'!$A$2:$B$255, 2, FALSE) * VLOOKUP("Biannual", 'Maintenance Activities'!$A$2:$B$5, 2, FALSE) / 60</f>
        <v>55</v>
      </c>
      <c r="E55">
        <f>VLOOKUP(A55, 'Bike Stations'!$A$2:$B$255, 2, FALSE) * VLOOKUP("Annual", 'Maintenance Activities'!$A$2:$B$5, 2, FALSE) / 60</f>
        <v>110</v>
      </c>
      <c r="F55" s="5">
        <f t="shared" si="0"/>
        <v>201.66666666666666</v>
      </c>
    </row>
    <row r="56" spans="1:6" x14ac:dyDescent="0.35">
      <c r="A56" t="str">
        <f>'Bike Stations'!A56</f>
        <v>Seaview Terrace</v>
      </c>
      <c r="B56">
        <f>VLOOKUP(A56, 'Bike Stations'!$A$2:$B56, 2, FALSE) * VLOOKUP("Weekly", 'Maintenance Activities'!$A$2:$B$5, 2, FALSE) /60</f>
        <v>0</v>
      </c>
      <c r="C56">
        <f>VLOOKUP(A56, 'Bike Stations'!$A$2:$B$255, 2, FALSE) * VLOOKUP("Monthly", 'Maintenance Activities'!$A$2:$B$5, 2, FALSE) /60</f>
        <v>0</v>
      </c>
      <c r="D56">
        <f>VLOOKUP(A56, 'Bike Stations'!$A$2:$B$255, 2, FALSE) * VLOOKUP("Biannual", 'Maintenance Activities'!$A$2:$B$5, 2, FALSE) / 60</f>
        <v>0</v>
      </c>
      <c r="E56">
        <f>VLOOKUP(A56, 'Bike Stations'!$A$2:$B$255, 2, FALSE) * VLOOKUP("Annual", 'Maintenance Activities'!$A$2:$B$5, 2, FALSE) / 60</f>
        <v>0</v>
      </c>
      <c r="F56" s="5">
        <f t="shared" si="0"/>
        <v>0</v>
      </c>
    </row>
    <row r="57" spans="1:6" x14ac:dyDescent="0.35">
      <c r="A57" t="str">
        <f>'Bike Stations'!A57</f>
        <v>Chalmers Crescent</v>
      </c>
      <c r="B57">
        <f>VLOOKUP(A57, 'Bike Stations'!$A$2:$B57, 2, FALSE) * VLOOKUP("Weekly", 'Maintenance Activities'!$A$2:$B$5, 2, FALSE) /60</f>
        <v>4.166666666666667</v>
      </c>
      <c r="C57">
        <f>VLOOKUP(A57, 'Bike Stations'!$A$2:$B$255, 2, FALSE) * VLOOKUP("Monthly", 'Maintenance Activities'!$A$2:$B$5, 2, FALSE) /60</f>
        <v>12.5</v>
      </c>
      <c r="D57">
        <f>VLOOKUP(A57, 'Bike Stations'!$A$2:$B$255, 2, FALSE) * VLOOKUP("Biannual", 'Maintenance Activities'!$A$2:$B$5, 2, FALSE) / 60</f>
        <v>25</v>
      </c>
      <c r="E57">
        <f>VLOOKUP(A57, 'Bike Stations'!$A$2:$B$255, 2, FALSE) * VLOOKUP("Annual", 'Maintenance Activities'!$A$2:$B$5, 2, FALSE) / 60</f>
        <v>50</v>
      </c>
      <c r="F57" s="5">
        <f t="shared" si="0"/>
        <v>91.666666666666671</v>
      </c>
    </row>
    <row r="58" spans="1:6" x14ac:dyDescent="0.35">
      <c r="A58" t="str">
        <f>'Bike Stations'!A58</f>
        <v>Craiglockhart Primary School</v>
      </c>
      <c r="B58">
        <f>VLOOKUP(A58, 'Bike Stations'!$A$2:$B58, 2, FALSE) * VLOOKUP("Weekly", 'Maintenance Activities'!$A$2:$B$5, 2, FALSE) /60</f>
        <v>0</v>
      </c>
      <c r="C58">
        <f>VLOOKUP(A58, 'Bike Stations'!$A$2:$B$255, 2, FALSE) * VLOOKUP("Monthly", 'Maintenance Activities'!$A$2:$B$5, 2, FALSE) /60</f>
        <v>0</v>
      </c>
      <c r="D58">
        <f>VLOOKUP(A58, 'Bike Stations'!$A$2:$B$255, 2, FALSE) * VLOOKUP("Biannual", 'Maintenance Activities'!$A$2:$B$5, 2, FALSE) / 60</f>
        <v>0</v>
      </c>
      <c r="E58">
        <f>VLOOKUP(A58, 'Bike Stations'!$A$2:$B$255, 2, FALSE) * VLOOKUP("Annual", 'Maintenance Activities'!$A$2:$B$5, 2, FALSE) / 60</f>
        <v>0</v>
      </c>
      <c r="F58" s="5">
        <f t="shared" si="0"/>
        <v>0</v>
      </c>
    </row>
    <row r="59" spans="1:6" x14ac:dyDescent="0.35">
      <c r="A59" t="str">
        <f>'Bike Stations'!A59</f>
        <v>Traquair Park West</v>
      </c>
      <c r="B59">
        <f>VLOOKUP(A59, 'Bike Stations'!$A$2:$B59, 2, FALSE) * VLOOKUP("Weekly", 'Maintenance Activities'!$A$2:$B$5, 2, FALSE) /60</f>
        <v>0.83333333333333337</v>
      </c>
      <c r="C59">
        <f>VLOOKUP(A59, 'Bike Stations'!$A$2:$B$255, 2, FALSE) * VLOOKUP("Monthly", 'Maintenance Activities'!$A$2:$B$5, 2, FALSE) /60</f>
        <v>2.5</v>
      </c>
      <c r="D59">
        <f>VLOOKUP(A59, 'Bike Stations'!$A$2:$B$255, 2, FALSE) * VLOOKUP("Biannual", 'Maintenance Activities'!$A$2:$B$5, 2, FALSE) / 60</f>
        <v>5</v>
      </c>
      <c r="E59">
        <f>VLOOKUP(A59, 'Bike Stations'!$A$2:$B$255, 2, FALSE) * VLOOKUP("Annual", 'Maintenance Activities'!$A$2:$B$5, 2, FALSE) / 60</f>
        <v>10</v>
      </c>
      <c r="F59" s="5">
        <f t="shared" si="0"/>
        <v>18.333333333333336</v>
      </c>
    </row>
    <row r="60" spans="1:6" x14ac:dyDescent="0.35">
      <c r="A60" t="str">
        <f>'Bike Stations'!A60</f>
        <v>Braid Tennis Club</v>
      </c>
      <c r="B60">
        <f>VLOOKUP(A60, 'Bike Stations'!$A$2:$B60, 2, FALSE) * VLOOKUP("Weekly", 'Maintenance Activities'!$A$2:$B$5, 2, FALSE) /60</f>
        <v>0.83333333333333337</v>
      </c>
      <c r="C60">
        <f>VLOOKUP(A60, 'Bike Stations'!$A$2:$B$255, 2, FALSE) * VLOOKUP("Monthly", 'Maintenance Activities'!$A$2:$B$5, 2, FALSE) /60</f>
        <v>2.5</v>
      </c>
      <c r="D60">
        <f>VLOOKUP(A60, 'Bike Stations'!$A$2:$B$255, 2, FALSE) * VLOOKUP("Biannual", 'Maintenance Activities'!$A$2:$B$5, 2, FALSE) / 60</f>
        <v>5</v>
      </c>
      <c r="E60">
        <f>VLOOKUP(A60, 'Bike Stations'!$A$2:$B$255, 2, FALSE) * VLOOKUP("Annual", 'Maintenance Activities'!$A$2:$B$5, 2, FALSE) / 60</f>
        <v>10</v>
      </c>
      <c r="F60" s="5">
        <f t="shared" si="0"/>
        <v>18.333333333333336</v>
      </c>
    </row>
    <row r="61" spans="1:6" x14ac:dyDescent="0.35">
      <c r="A61" t="str">
        <f>'Bike Stations'!A61</f>
        <v>Braehead Drive</v>
      </c>
      <c r="B61">
        <f>VLOOKUP(A61, 'Bike Stations'!$A$2:$B61, 2, FALSE) * VLOOKUP("Weekly", 'Maintenance Activities'!$A$2:$B$5, 2, FALSE) /60</f>
        <v>0</v>
      </c>
      <c r="C61">
        <f>VLOOKUP(A61, 'Bike Stations'!$A$2:$B$255, 2, FALSE) * VLOOKUP("Monthly", 'Maintenance Activities'!$A$2:$B$5, 2, FALSE) /60</f>
        <v>0</v>
      </c>
      <c r="D61">
        <f>VLOOKUP(A61, 'Bike Stations'!$A$2:$B$255, 2, FALSE) * VLOOKUP("Biannual", 'Maintenance Activities'!$A$2:$B$5, 2, FALSE) / 60</f>
        <v>0</v>
      </c>
      <c r="E61">
        <f>VLOOKUP(A61, 'Bike Stations'!$A$2:$B$255, 2, FALSE) * VLOOKUP("Annual", 'Maintenance Activities'!$A$2:$B$5, 2, FALSE) / 60</f>
        <v>0</v>
      </c>
      <c r="F61" s="5">
        <f t="shared" si="0"/>
        <v>0</v>
      </c>
    </row>
    <row r="62" spans="1:6" x14ac:dyDescent="0.35">
      <c r="A62" t="str">
        <f>'Bike Stations'!A62</f>
        <v>Corbiehill Avenue</v>
      </c>
      <c r="B62">
        <f>VLOOKUP(A62, 'Bike Stations'!$A$2:$B62, 2, FALSE) * VLOOKUP("Weekly", 'Maintenance Activities'!$A$2:$B$5, 2, FALSE) /60</f>
        <v>0.83333333333333337</v>
      </c>
      <c r="C62">
        <f>VLOOKUP(A62, 'Bike Stations'!$A$2:$B$255, 2, FALSE) * VLOOKUP("Monthly", 'Maintenance Activities'!$A$2:$B$5, 2, FALSE) /60</f>
        <v>2.5</v>
      </c>
      <c r="D62">
        <f>VLOOKUP(A62, 'Bike Stations'!$A$2:$B$255, 2, FALSE) * VLOOKUP("Biannual", 'Maintenance Activities'!$A$2:$B$5, 2, FALSE) / 60</f>
        <v>5</v>
      </c>
      <c r="E62">
        <f>VLOOKUP(A62, 'Bike Stations'!$A$2:$B$255, 2, FALSE) * VLOOKUP("Annual", 'Maintenance Activities'!$A$2:$B$5, 2, FALSE) / 60</f>
        <v>10</v>
      </c>
      <c r="F62" s="5">
        <f t="shared" si="0"/>
        <v>18.333333333333336</v>
      </c>
    </row>
    <row r="63" spans="1:6" x14ac:dyDescent="0.35">
      <c r="A63" t="str">
        <f>'Bike Stations'!A63</f>
        <v>Sighthill Shopping Centre</v>
      </c>
      <c r="B63">
        <f>VLOOKUP(A63, 'Bike Stations'!$A$2:$B63, 2, FALSE) * VLOOKUP("Weekly", 'Maintenance Activities'!$A$2:$B$5, 2, FALSE) /60</f>
        <v>9.1666666666666181</v>
      </c>
      <c r="C63">
        <f>VLOOKUP(A63, 'Bike Stations'!$A$2:$B$255, 2, FALSE) * VLOOKUP("Monthly", 'Maintenance Activities'!$A$2:$B$5, 2, FALSE) /60</f>
        <v>27.499999999999851</v>
      </c>
      <c r="D63">
        <f>VLOOKUP(A63, 'Bike Stations'!$A$2:$B$255, 2, FALSE) * VLOOKUP("Biannual", 'Maintenance Activities'!$A$2:$B$5, 2, FALSE) / 60</f>
        <v>54.999999999999702</v>
      </c>
      <c r="E63">
        <f>VLOOKUP(A63, 'Bike Stations'!$A$2:$B$255, 2, FALSE) * VLOOKUP("Annual", 'Maintenance Activities'!$A$2:$B$5, 2, FALSE) / 60</f>
        <v>109.9999999999994</v>
      </c>
      <c r="F63" s="5">
        <f t="shared" si="0"/>
        <v>201.66666666666558</v>
      </c>
    </row>
    <row r="64" spans="1:6" x14ac:dyDescent="0.35">
      <c r="A64" t="str">
        <f>'Bike Stations'!A64</f>
        <v>Lasswade Road</v>
      </c>
      <c r="B64">
        <f>VLOOKUP(A64, 'Bike Stations'!$A$2:$B64, 2, FALSE) * VLOOKUP("Weekly", 'Maintenance Activities'!$A$2:$B$5, 2, FALSE) /60</f>
        <v>0.83333333333333337</v>
      </c>
      <c r="C64">
        <f>VLOOKUP(A64, 'Bike Stations'!$A$2:$B$255, 2, FALSE) * VLOOKUP("Monthly", 'Maintenance Activities'!$A$2:$B$5, 2, FALSE) /60</f>
        <v>2.5</v>
      </c>
      <c r="D64">
        <f>VLOOKUP(A64, 'Bike Stations'!$A$2:$B$255, 2, FALSE) * VLOOKUP("Biannual", 'Maintenance Activities'!$A$2:$B$5, 2, FALSE) / 60</f>
        <v>5</v>
      </c>
      <c r="E64">
        <f>VLOOKUP(A64, 'Bike Stations'!$A$2:$B$255, 2, FALSE) * VLOOKUP("Annual", 'Maintenance Activities'!$A$2:$B$5, 2, FALSE) / 60</f>
        <v>10</v>
      </c>
      <c r="F64" s="5">
        <f t="shared" si="0"/>
        <v>18.333333333333336</v>
      </c>
    </row>
    <row r="65" spans="1:6" x14ac:dyDescent="0.35">
      <c r="A65" t="str">
        <f>'Bike Stations'!A65</f>
        <v>Craiglockhart Park</v>
      </c>
      <c r="B65">
        <f>VLOOKUP(A65, 'Bike Stations'!$A$2:$B65, 2, FALSE) * VLOOKUP("Weekly", 'Maintenance Activities'!$A$2:$B$5, 2, FALSE) /60</f>
        <v>0.83333333333333337</v>
      </c>
      <c r="C65">
        <f>VLOOKUP(A65, 'Bike Stations'!$A$2:$B$255, 2, FALSE) * VLOOKUP("Monthly", 'Maintenance Activities'!$A$2:$B$5, 2, FALSE) /60</f>
        <v>2.5</v>
      </c>
      <c r="D65">
        <f>VLOOKUP(A65, 'Bike Stations'!$A$2:$B$255, 2, FALSE) * VLOOKUP("Biannual", 'Maintenance Activities'!$A$2:$B$5, 2, FALSE) / 60</f>
        <v>5</v>
      </c>
      <c r="E65">
        <f>VLOOKUP(A65, 'Bike Stations'!$A$2:$B$255, 2, FALSE) * VLOOKUP("Annual", 'Maintenance Activities'!$A$2:$B$5, 2, FALSE) / 60</f>
        <v>10</v>
      </c>
      <c r="F65" s="5">
        <f t="shared" si="0"/>
        <v>18.333333333333336</v>
      </c>
    </row>
    <row r="66" spans="1:6" x14ac:dyDescent="0.35">
      <c r="A66" t="str">
        <f>'Bike Stations'!A66</f>
        <v>Newhaven Road</v>
      </c>
      <c r="B66">
        <f>VLOOKUP(A66, 'Bike Stations'!$A$2:$B66, 2, FALSE) * VLOOKUP("Weekly", 'Maintenance Activities'!$A$2:$B$5, 2, FALSE) /60</f>
        <v>5</v>
      </c>
      <c r="C66">
        <f>VLOOKUP(A66, 'Bike Stations'!$A$2:$B$255, 2, FALSE) * VLOOKUP("Monthly", 'Maintenance Activities'!$A$2:$B$5, 2, FALSE) /60</f>
        <v>15</v>
      </c>
      <c r="D66">
        <f>VLOOKUP(A66, 'Bike Stations'!$A$2:$B$255, 2, FALSE) * VLOOKUP("Biannual", 'Maintenance Activities'!$A$2:$B$5, 2, FALSE) / 60</f>
        <v>30</v>
      </c>
      <c r="E66">
        <f>VLOOKUP(A66, 'Bike Stations'!$A$2:$B$255, 2, FALSE) * VLOOKUP("Annual", 'Maintenance Activities'!$A$2:$B$5, 2, FALSE) / 60</f>
        <v>60</v>
      </c>
      <c r="F66" s="5">
        <f t="shared" si="0"/>
        <v>110</v>
      </c>
    </row>
    <row r="67" spans="1:6" x14ac:dyDescent="0.35">
      <c r="A67" t="str">
        <f>'Bike Stations'!A67</f>
        <v>Crescent House</v>
      </c>
      <c r="B67">
        <f>VLOOKUP(A67, 'Bike Stations'!$A$2:$B67, 2, FALSE) * VLOOKUP("Weekly", 'Maintenance Activities'!$A$2:$B$5, 2, FALSE) /60</f>
        <v>0</v>
      </c>
      <c r="C67">
        <f>VLOOKUP(A67, 'Bike Stations'!$A$2:$B$255, 2, FALSE) * VLOOKUP("Monthly", 'Maintenance Activities'!$A$2:$B$5, 2, FALSE) /60</f>
        <v>0</v>
      </c>
      <c r="D67">
        <f>VLOOKUP(A67, 'Bike Stations'!$A$2:$B$255, 2, FALSE) * VLOOKUP("Biannual", 'Maintenance Activities'!$A$2:$B$5, 2, FALSE) / 60</f>
        <v>0</v>
      </c>
      <c r="E67">
        <f>VLOOKUP(A67, 'Bike Stations'!$A$2:$B$255, 2, FALSE) * VLOOKUP("Annual", 'Maintenance Activities'!$A$2:$B$5, 2, FALSE) / 60</f>
        <v>0</v>
      </c>
      <c r="F67" s="5">
        <f t="shared" si="0"/>
        <v>0</v>
      </c>
    </row>
    <row r="68" spans="1:6" x14ac:dyDescent="0.35">
      <c r="A68" t="str">
        <f>'Bike Stations'!A68</f>
        <v>Fillyside Avenue</v>
      </c>
      <c r="B68">
        <f>VLOOKUP(A68, 'Bike Stations'!$A$2:$B68, 2, FALSE) * VLOOKUP("Weekly", 'Maintenance Activities'!$A$2:$B$5, 2, FALSE) /60</f>
        <v>0.83333333333333337</v>
      </c>
      <c r="C68">
        <f>VLOOKUP(A68, 'Bike Stations'!$A$2:$B$255, 2, FALSE) * VLOOKUP("Monthly", 'Maintenance Activities'!$A$2:$B$5, 2, FALSE) /60</f>
        <v>2.5</v>
      </c>
      <c r="D68">
        <f>VLOOKUP(A68, 'Bike Stations'!$A$2:$B$255, 2, FALSE) * VLOOKUP("Biannual", 'Maintenance Activities'!$A$2:$B$5, 2, FALSE) / 60</f>
        <v>5</v>
      </c>
      <c r="E68">
        <f>VLOOKUP(A68, 'Bike Stations'!$A$2:$B$255, 2, FALSE) * VLOOKUP("Annual", 'Maintenance Activities'!$A$2:$B$5, 2, FALSE) / 60</f>
        <v>10</v>
      </c>
      <c r="F68" s="5">
        <f t="shared" ref="F68:F131" si="1">B68 + C68 + D68 + E68</f>
        <v>18.333333333333336</v>
      </c>
    </row>
    <row r="69" spans="1:6" x14ac:dyDescent="0.35">
      <c r="A69" t="str">
        <f>'Bike Stations'!A69</f>
        <v>Holyrood Road</v>
      </c>
      <c r="B69">
        <f>VLOOKUP(A69, 'Bike Stations'!$A$2:$B69, 2, FALSE) * VLOOKUP("Weekly", 'Maintenance Activities'!$A$2:$B$5, 2, FALSE) /60</f>
        <v>9.1666666666666661</v>
      </c>
      <c r="C69">
        <f>VLOOKUP(A69, 'Bike Stations'!$A$2:$B$255, 2, FALSE) * VLOOKUP("Monthly", 'Maintenance Activities'!$A$2:$B$5, 2, FALSE) /60</f>
        <v>27.5</v>
      </c>
      <c r="D69">
        <f>VLOOKUP(A69, 'Bike Stations'!$A$2:$B$255, 2, FALSE) * VLOOKUP("Biannual", 'Maintenance Activities'!$A$2:$B$5, 2, FALSE) / 60</f>
        <v>55</v>
      </c>
      <c r="E69">
        <f>VLOOKUP(A69, 'Bike Stations'!$A$2:$B$255, 2, FALSE) * VLOOKUP("Annual", 'Maintenance Activities'!$A$2:$B$5, 2, FALSE) / 60</f>
        <v>110</v>
      </c>
      <c r="F69" s="5">
        <f t="shared" si="1"/>
        <v>201.66666666666666</v>
      </c>
    </row>
    <row r="70" spans="1:6" x14ac:dyDescent="0.35">
      <c r="A70" t="str">
        <f>'Bike Stations'!A70</f>
        <v>Moston Terrace</v>
      </c>
      <c r="B70">
        <f>VLOOKUP(A70, 'Bike Stations'!$A$2:$B70, 2, FALSE) * VLOOKUP("Weekly", 'Maintenance Activities'!$A$2:$B$5, 2, FALSE) /60</f>
        <v>0</v>
      </c>
      <c r="C70">
        <f>VLOOKUP(A70, 'Bike Stations'!$A$2:$B$255, 2, FALSE) * VLOOKUP("Monthly", 'Maintenance Activities'!$A$2:$B$5, 2, FALSE) /60</f>
        <v>0</v>
      </c>
      <c r="D70">
        <f>VLOOKUP(A70, 'Bike Stations'!$A$2:$B$255, 2, FALSE) * VLOOKUP("Biannual", 'Maintenance Activities'!$A$2:$B$5, 2, FALSE) / 60</f>
        <v>0</v>
      </c>
      <c r="E70">
        <f>VLOOKUP(A70, 'Bike Stations'!$A$2:$B$255, 2, FALSE) * VLOOKUP("Annual", 'Maintenance Activities'!$A$2:$B$5, 2, FALSE) / 60</f>
        <v>0</v>
      </c>
      <c r="F70" s="5">
        <f t="shared" si="1"/>
        <v>0</v>
      </c>
    </row>
    <row r="71" spans="1:6" x14ac:dyDescent="0.35">
      <c r="A71" t="str">
        <f>'Bike Stations'!A71</f>
        <v>Cairntows Park</v>
      </c>
      <c r="B71">
        <f>VLOOKUP(A71, 'Bike Stations'!$A$2:$B71, 2, FALSE) * VLOOKUP("Weekly", 'Maintenance Activities'!$A$2:$B$5, 2, FALSE) /60</f>
        <v>0</v>
      </c>
      <c r="C71">
        <f>VLOOKUP(A71, 'Bike Stations'!$A$2:$B$255, 2, FALSE) * VLOOKUP("Monthly", 'Maintenance Activities'!$A$2:$B$5, 2, FALSE) /60</f>
        <v>0</v>
      </c>
      <c r="D71">
        <f>VLOOKUP(A71, 'Bike Stations'!$A$2:$B$255, 2, FALSE) * VLOOKUP("Biannual", 'Maintenance Activities'!$A$2:$B$5, 2, FALSE) / 60</f>
        <v>0</v>
      </c>
      <c r="E71">
        <f>VLOOKUP(A71, 'Bike Stations'!$A$2:$B$255, 2, FALSE) * VLOOKUP("Annual", 'Maintenance Activities'!$A$2:$B$5, 2, FALSE) / 60</f>
        <v>0</v>
      </c>
      <c r="F71" s="5">
        <f t="shared" si="1"/>
        <v>0</v>
      </c>
    </row>
    <row r="72" spans="1:6" x14ac:dyDescent="0.35">
      <c r="A72" t="str">
        <f>'Bike Stations'!A72</f>
        <v>Orchard Brae Gardens</v>
      </c>
      <c r="B72">
        <f>VLOOKUP(A72, 'Bike Stations'!$A$2:$B72, 2, FALSE) * VLOOKUP("Weekly", 'Maintenance Activities'!$A$2:$B$5, 2, FALSE) /60</f>
        <v>0.83333333333333337</v>
      </c>
      <c r="C72">
        <f>VLOOKUP(A72, 'Bike Stations'!$A$2:$B$255, 2, FALSE) * VLOOKUP("Monthly", 'Maintenance Activities'!$A$2:$B$5, 2, FALSE) /60</f>
        <v>2.5</v>
      </c>
      <c r="D72">
        <f>VLOOKUP(A72, 'Bike Stations'!$A$2:$B$255, 2, FALSE) * VLOOKUP("Biannual", 'Maintenance Activities'!$A$2:$B$5, 2, FALSE) / 60</f>
        <v>5</v>
      </c>
      <c r="E72">
        <f>VLOOKUP(A72, 'Bike Stations'!$A$2:$B$255, 2, FALSE) * VLOOKUP("Annual", 'Maintenance Activities'!$A$2:$B$5, 2, FALSE) / 60</f>
        <v>10</v>
      </c>
      <c r="F72" s="5">
        <f t="shared" si="1"/>
        <v>18.333333333333336</v>
      </c>
    </row>
    <row r="73" spans="1:6" x14ac:dyDescent="0.35">
      <c r="A73" t="str">
        <f>'Bike Stations'!A73</f>
        <v>Treverlen Park</v>
      </c>
      <c r="B73">
        <f>VLOOKUP(A73, 'Bike Stations'!$A$2:$B73, 2, FALSE) * VLOOKUP("Weekly", 'Maintenance Activities'!$A$2:$B$5, 2, FALSE) /60</f>
        <v>0.83333333333333337</v>
      </c>
      <c r="C73">
        <f>VLOOKUP(A73, 'Bike Stations'!$A$2:$B$255, 2, FALSE) * VLOOKUP("Monthly", 'Maintenance Activities'!$A$2:$B$5, 2, FALSE) /60</f>
        <v>2.5</v>
      </c>
      <c r="D73">
        <f>VLOOKUP(A73, 'Bike Stations'!$A$2:$B$255, 2, FALSE) * VLOOKUP("Biannual", 'Maintenance Activities'!$A$2:$B$5, 2, FALSE) / 60</f>
        <v>5</v>
      </c>
      <c r="E73">
        <f>VLOOKUP(A73, 'Bike Stations'!$A$2:$B$255, 2, FALSE) * VLOOKUP("Annual", 'Maintenance Activities'!$A$2:$B$5, 2, FALSE) / 60</f>
        <v>10</v>
      </c>
      <c r="F73" s="5">
        <f t="shared" si="1"/>
        <v>18.333333333333336</v>
      </c>
    </row>
    <row r="74" spans="1:6" x14ac:dyDescent="0.35">
      <c r="A74" t="str">
        <f>'Bike Stations'!A74</f>
        <v>Queensferry Road</v>
      </c>
      <c r="B74">
        <f>VLOOKUP(A74, 'Bike Stations'!$A$2:$B74, 2, FALSE) * VLOOKUP("Weekly", 'Maintenance Activities'!$A$2:$B$5, 2, FALSE) /60</f>
        <v>0.83333333333333337</v>
      </c>
      <c r="C74">
        <f>VLOOKUP(A74, 'Bike Stations'!$A$2:$B$255, 2, FALSE) * VLOOKUP("Monthly", 'Maintenance Activities'!$A$2:$B$5, 2, FALSE) /60</f>
        <v>2.5</v>
      </c>
      <c r="D74">
        <f>VLOOKUP(A74, 'Bike Stations'!$A$2:$B$255, 2, FALSE) * VLOOKUP("Biannual", 'Maintenance Activities'!$A$2:$B$5, 2, FALSE) / 60</f>
        <v>5</v>
      </c>
      <c r="E74">
        <f>VLOOKUP(A74, 'Bike Stations'!$A$2:$B$255, 2, FALSE) * VLOOKUP("Annual", 'Maintenance Activities'!$A$2:$B$5, 2, FALSE) / 60</f>
        <v>10</v>
      </c>
      <c r="F74" s="5">
        <f t="shared" si="1"/>
        <v>18.333333333333336</v>
      </c>
    </row>
    <row r="75" spans="1:6" x14ac:dyDescent="0.35">
      <c r="A75" t="str">
        <f>'Bike Stations'!A75</f>
        <v>Morningside Park</v>
      </c>
      <c r="B75">
        <f>VLOOKUP(A75, 'Bike Stations'!$A$2:$B75, 2, FALSE) * VLOOKUP("Weekly", 'Maintenance Activities'!$A$2:$B$5, 2, FALSE) /60</f>
        <v>0.83333333333333337</v>
      </c>
      <c r="C75">
        <f>VLOOKUP(A75, 'Bike Stations'!$A$2:$B$255, 2, FALSE) * VLOOKUP("Monthly", 'Maintenance Activities'!$A$2:$B$5, 2, FALSE) /60</f>
        <v>2.5</v>
      </c>
      <c r="D75">
        <f>VLOOKUP(A75, 'Bike Stations'!$A$2:$B$255, 2, FALSE) * VLOOKUP("Biannual", 'Maintenance Activities'!$A$2:$B$5, 2, FALSE) / 60</f>
        <v>5</v>
      </c>
      <c r="E75">
        <f>VLOOKUP(A75, 'Bike Stations'!$A$2:$B$255, 2, FALSE) * VLOOKUP("Annual", 'Maintenance Activities'!$A$2:$B$5, 2, FALSE) / 60</f>
        <v>10</v>
      </c>
      <c r="F75" s="5">
        <f t="shared" si="1"/>
        <v>18.333333333333336</v>
      </c>
    </row>
    <row r="76" spans="1:6" x14ac:dyDescent="0.35">
      <c r="A76" t="str">
        <f>'Bike Stations'!A76</f>
        <v>Ormidale Terrace</v>
      </c>
      <c r="B76">
        <f>VLOOKUP(A76, 'Bike Stations'!$A$2:$B76, 2, FALSE) * VLOOKUP("Weekly", 'Maintenance Activities'!$A$2:$B$5, 2, FALSE) /60</f>
        <v>0.83333333333333337</v>
      </c>
      <c r="C76">
        <f>VLOOKUP(A76, 'Bike Stations'!$A$2:$B$255, 2, FALSE) * VLOOKUP("Monthly", 'Maintenance Activities'!$A$2:$B$5, 2, FALSE) /60</f>
        <v>2.5</v>
      </c>
      <c r="D76">
        <f>VLOOKUP(A76, 'Bike Stations'!$A$2:$B$255, 2, FALSE) * VLOOKUP("Biannual", 'Maintenance Activities'!$A$2:$B$5, 2, FALSE) / 60</f>
        <v>5</v>
      </c>
      <c r="E76">
        <f>VLOOKUP(A76, 'Bike Stations'!$A$2:$B$255, 2, FALSE) * VLOOKUP("Annual", 'Maintenance Activities'!$A$2:$B$5, 2, FALSE) / 60</f>
        <v>10</v>
      </c>
      <c r="F76" s="5">
        <f t="shared" si="1"/>
        <v>18.333333333333336</v>
      </c>
    </row>
    <row r="77" spans="1:6" x14ac:dyDescent="0.35">
      <c r="A77" t="str">
        <f>'Bike Stations'!A77</f>
        <v>Spylaw Bank Road</v>
      </c>
      <c r="B77">
        <f>VLOOKUP(A77, 'Bike Stations'!$A$2:$B77, 2, FALSE) * VLOOKUP("Weekly", 'Maintenance Activities'!$A$2:$B$5, 2, FALSE) /60</f>
        <v>0.83333333333333337</v>
      </c>
      <c r="C77">
        <f>VLOOKUP(A77, 'Bike Stations'!$A$2:$B$255, 2, FALSE) * VLOOKUP("Monthly", 'Maintenance Activities'!$A$2:$B$5, 2, FALSE) /60</f>
        <v>2.5</v>
      </c>
      <c r="D77">
        <f>VLOOKUP(A77, 'Bike Stations'!$A$2:$B$255, 2, FALSE) * VLOOKUP("Biannual", 'Maintenance Activities'!$A$2:$B$5, 2, FALSE) / 60</f>
        <v>5</v>
      </c>
      <c r="E77">
        <f>VLOOKUP(A77, 'Bike Stations'!$A$2:$B$255, 2, FALSE) * VLOOKUP("Annual", 'Maintenance Activities'!$A$2:$B$5, 2, FALSE) / 60</f>
        <v>10</v>
      </c>
      <c r="F77" s="5">
        <f t="shared" si="1"/>
        <v>18.333333333333336</v>
      </c>
    </row>
    <row r="78" spans="1:6" x14ac:dyDescent="0.35">
      <c r="A78" t="str">
        <f>'Bike Stations'!A78</f>
        <v>Craigmillar Park Bowling Club</v>
      </c>
      <c r="B78">
        <f>VLOOKUP(A78, 'Bike Stations'!$A$2:$B78, 2, FALSE) * VLOOKUP("Weekly", 'Maintenance Activities'!$A$2:$B$5, 2, FALSE) /60</f>
        <v>0.83333333333333337</v>
      </c>
      <c r="C78">
        <f>VLOOKUP(A78, 'Bike Stations'!$A$2:$B$255, 2, FALSE) * VLOOKUP("Monthly", 'Maintenance Activities'!$A$2:$B$5, 2, FALSE) /60</f>
        <v>2.5</v>
      </c>
      <c r="D78">
        <f>VLOOKUP(A78, 'Bike Stations'!$A$2:$B$255, 2, FALSE) * VLOOKUP("Biannual", 'Maintenance Activities'!$A$2:$B$5, 2, FALSE) / 60</f>
        <v>5</v>
      </c>
      <c r="E78">
        <f>VLOOKUP(A78, 'Bike Stations'!$A$2:$B$255, 2, FALSE) * VLOOKUP("Annual", 'Maintenance Activities'!$A$2:$B$5, 2, FALSE) / 60</f>
        <v>10</v>
      </c>
      <c r="F78" s="5">
        <f t="shared" si="1"/>
        <v>18.333333333333336</v>
      </c>
    </row>
    <row r="79" spans="1:6" x14ac:dyDescent="0.35">
      <c r="A79" t="str">
        <f>'Bike Stations'!A79</f>
        <v>Ryehill Terrace</v>
      </c>
      <c r="B79">
        <f>VLOOKUP(A79, 'Bike Stations'!$A$2:$B79, 2, FALSE) * VLOOKUP("Weekly", 'Maintenance Activities'!$A$2:$B$5, 2, FALSE) /60</f>
        <v>0</v>
      </c>
      <c r="C79">
        <f>VLOOKUP(A79, 'Bike Stations'!$A$2:$B$255, 2, FALSE) * VLOOKUP("Monthly", 'Maintenance Activities'!$A$2:$B$5, 2, FALSE) /60</f>
        <v>0</v>
      </c>
      <c r="D79">
        <f>VLOOKUP(A79, 'Bike Stations'!$A$2:$B$255, 2, FALSE) * VLOOKUP("Biannual", 'Maintenance Activities'!$A$2:$B$5, 2, FALSE) / 60</f>
        <v>0</v>
      </c>
      <c r="E79">
        <f>VLOOKUP(A79, 'Bike Stations'!$A$2:$B$255, 2, FALSE) * VLOOKUP("Annual", 'Maintenance Activities'!$A$2:$B$5, 2, FALSE) / 60</f>
        <v>0</v>
      </c>
      <c r="F79" s="5">
        <f t="shared" si="1"/>
        <v>0</v>
      </c>
    </row>
    <row r="80" spans="1:6" x14ac:dyDescent="0.35">
      <c r="A80" t="str">
        <f>'Bike Stations'!A80</f>
        <v>Seafield Recreation Ground</v>
      </c>
      <c r="B80">
        <f>VLOOKUP(A80, 'Bike Stations'!$A$2:$B80, 2, FALSE) * VLOOKUP("Weekly", 'Maintenance Activities'!$A$2:$B$5, 2, FALSE) /60</f>
        <v>0</v>
      </c>
      <c r="C80">
        <f>VLOOKUP(A80, 'Bike Stations'!$A$2:$B$255, 2, FALSE) * VLOOKUP("Monthly", 'Maintenance Activities'!$A$2:$B$5, 2, FALSE) /60</f>
        <v>0</v>
      </c>
      <c r="D80">
        <f>VLOOKUP(A80, 'Bike Stations'!$A$2:$B$255, 2, FALSE) * VLOOKUP("Biannual", 'Maintenance Activities'!$A$2:$B$5, 2, FALSE) / 60</f>
        <v>0</v>
      </c>
      <c r="E80">
        <f>VLOOKUP(A80, 'Bike Stations'!$A$2:$B$255, 2, FALSE) * VLOOKUP("Annual", 'Maintenance Activities'!$A$2:$B$5, 2, FALSE) / 60</f>
        <v>0</v>
      </c>
      <c r="F80" s="5">
        <f t="shared" si="1"/>
        <v>0</v>
      </c>
    </row>
    <row r="81" spans="1:6" x14ac:dyDescent="0.35">
      <c r="A81" t="str">
        <f>'Bike Stations'!A81</f>
        <v>Gorgie Road</v>
      </c>
      <c r="B81">
        <f>VLOOKUP(A81, 'Bike Stations'!$A$2:$B81, 2, FALSE) * VLOOKUP("Weekly", 'Maintenance Activities'!$A$2:$B$5, 2, FALSE) /60</f>
        <v>0</v>
      </c>
      <c r="C81">
        <f>VLOOKUP(A81, 'Bike Stations'!$A$2:$B$255, 2, FALSE) * VLOOKUP("Monthly", 'Maintenance Activities'!$A$2:$B$5, 2, FALSE) /60</f>
        <v>0</v>
      </c>
      <c r="D81">
        <f>VLOOKUP(A81, 'Bike Stations'!$A$2:$B$255, 2, FALSE) * VLOOKUP("Biannual", 'Maintenance Activities'!$A$2:$B$5, 2, FALSE) / 60</f>
        <v>0</v>
      </c>
      <c r="E81">
        <f>VLOOKUP(A81, 'Bike Stations'!$A$2:$B$255, 2, FALSE) * VLOOKUP("Annual", 'Maintenance Activities'!$A$2:$B$5, 2, FALSE) / 60</f>
        <v>0</v>
      </c>
      <c r="F81" s="5">
        <f t="shared" si="1"/>
        <v>0</v>
      </c>
    </row>
    <row r="82" spans="1:6" x14ac:dyDescent="0.35">
      <c r="A82" t="str">
        <f>'Bike Stations'!A82</f>
        <v>HMP Edinburgh</v>
      </c>
      <c r="B82">
        <f>VLOOKUP(A82, 'Bike Stations'!$A$2:$B82, 2, FALSE) * VLOOKUP("Weekly", 'Maintenance Activities'!$A$2:$B$5, 2, FALSE) /60</f>
        <v>0</v>
      </c>
      <c r="C82">
        <f>VLOOKUP(A82, 'Bike Stations'!$A$2:$B$255, 2, FALSE) * VLOOKUP("Monthly", 'Maintenance Activities'!$A$2:$B$5, 2, FALSE) /60</f>
        <v>0</v>
      </c>
      <c r="D82">
        <f>VLOOKUP(A82, 'Bike Stations'!$A$2:$B$255, 2, FALSE) * VLOOKUP("Biannual", 'Maintenance Activities'!$A$2:$B$5, 2, FALSE) / 60</f>
        <v>0</v>
      </c>
      <c r="E82">
        <f>VLOOKUP(A82, 'Bike Stations'!$A$2:$B$255, 2, FALSE) * VLOOKUP("Annual", 'Maintenance Activities'!$A$2:$B$5, 2, FALSE) / 60</f>
        <v>0</v>
      </c>
      <c r="F82" s="5">
        <f t="shared" si="1"/>
        <v>0</v>
      </c>
    </row>
    <row r="83" spans="1:6" x14ac:dyDescent="0.35">
      <c r="A83" t="str">
        <f>'Bike Stations'!A83</f>
        <v>Edinburgh Academy</v>
      </c>
      <c r="B83">
        <f>VLOOKUP(A83, 'Bike Stations'!$A$2:$B83, 2, FALSE) * VLOOKUP("Weekly", 'Maintenance Activities'!$A$2:$B$5, 2, FALSE) /60</f>
        <v>3.3333333333333335</v>
      </c>
      <c r="C83">
        <f>VLOOKUP(A83, 'Bike Stations'!$A$2:$B$255, 2, FALSE) * VLOOKUP("Monthly", 'Maintenance Activities'!$A$2:$B$5, 2, FALSE) /60</f>
        <v>10</v>
      </c>
      <c r="D83">
        <f>VLOOKUP(A83, 'Bike Stations'!$A$2:$B$255, 2, FALSE) * VLOOKUP("Biannual", 'Maintenance Activities'!$A$2:$B$5, 2, FALSE) / 60</f>
        <v>20</v>
      </c>
      <c r="E83">
        <f>VLOOKUP(A83, 'Bike Stations'!$A$2:$B$255, 2, FALSE) * VLOOKUP("Annual", 'Maintenance Activities'!$A$2:$B$5, 2, FALSE) / 60</f>
        <v>40</v>
      </c>
      <c r="F83" s="5">
        <f t="shared" si="1"/>
        <v>73.333333333333343</v>
      </c>
    </row>
    <row r="84" spans="1:6" x14ac:dyDescent="0.35">
      <c r="A84" t="str">
        <f>'Bike Stations'!A84</f>
        <v>Drum Brae South</v>
      </c>
      <c r="B84">
        <f>VLOOKUP(A84, 'Bike Stations'!$A$2:$B84, 2, FALSE) * VLOOKUP("Weekly", 'Maintenance Activities'!$A$2:$B$5, 2, FALSE) /60</f>
        <v>0.83333333333333337</v>
      </c>
      <c r="C84">
        <f>VLOOKUP(A84, 'Bike Stations'!$A$2:$B$255, 2, FALSE) * VLOOKUP("Monthly", 'Maintenance Activities'!$A$2:$B$5, 2, FALSE) /60</f>
        <v>2.5</v>
      </c>
      <c r="D84">
        <f>VLOOKUP(A84, 'Bike Stations'!$A$2:$B$255, 2, FALSE) * VLOOKUP("Biannual", 'Maintenance Activities'!$A$2:$B$5, 2, FALSE) / 60</f>
        <v>5</v>
      </c>
      <c r="E84">
        <f>VLOOKUP(A84, 'Bike Stations'!$A$2:$B$255, 2, FALSE) * VLOOKUP("Annual", 'Maintenance Activities'!$A$2:$B$5, 2, FALSE) / 60</f>
        <v>10</v>
      </c>
      <c r="F84" s="5">
        <f t="shared" si="1"/>
        <v>18.333333333333336</v>
      </c>
    </row>
    <row r="85" spans="1:6" x14ac:dyDescent="0.35">
      <c r="A85" t="str">
        <f>'Bike Stations'!A85</f>
        <v>Edinburgh College - Milton Road</v>
      </c>
      <c r="B85">
        <f>VLOOKUP(A85, 'Bike Stations'!$A$2:$B85, 2, FALSE) * VLOOKUP("Weekly", 'Maintenance Activities'!$A$2:$B$5, 2, FALSE) /60</f>
        <v>0.83333333333333337</v>
      </c>
      <c r="C85">
        <f>VLOOKUP(A85, 'Bike Stations'!$A$2:$B$255, 2, FALSE) * VLOOKUP("Monthly", 'Maintenance Activities'!$A$2:$B$5, 2, FALSE) /60</f>
        <v>2.5</v>
      </c>
      <c r="D85">
        <f>VLOOKUP(A85, 'Bike Stations'!$A$2:$B$255, 2, FALSE) * VLOOKUP("Biannual", 'Maintenance Activities'!$A$2:$B$5, 2, FALSE) / 60</f>
        <v>5</v>
      </c>
      <c r="E85">
        <f>VLOOKUP(A85, 'Bike Stations'!$A$2:$B$255, 2, FALSE) * VLOOKUP("Annual", 'Maintenance Activities'!$A$2:$B$5, 2, FALSE) / 60</f>
        <v>10</v>
      </c>
      <c r="F85" s="5">
        <f t="shared" si="1"/>
        <v>18.333333333333336</v>
      </c>
    </row>
    <row r="86" spans="1:6" x14ac:dyDescent="0.35">
      <c r="A86" t="str">
        <f>'Bike Stations'!A86</f>
        <v>Burdiehouse Road</v>
      </c>
      <c r="B86">
        <f>VLOOKUP(A86, 'Bike Stations'!$A$2:$B86, 2, FALSE) * VLOOKUP("Weekly", 'Maintenance Activities'!$A$2:$B$5, 2, FALSE) /60</f>
        <v>0</v>
      </c>
      <c r="C86">
        <f>VLOOKUP(A86, 'Bike Stations'!$A$2:$B$255, 2, FALSE) * VLOOKUP("Monthly", 'Maintenance Activities'!$A$2:$B$5, 2, FALSE) /60</f>
        <v>0</v>
      </c>
      <c r="D86">
        <f>VLOOKUP(A86, 'Bike Stations'!$A$2:$B$255, 2, FALSE) * VLOOKUP("Biannual", 'Maintenance Activities'!$A$2:$B$5, 2, FALSE) / 60</f>
        <v>0</v>
      </c>
      <c r="E86">
        <f>VLOOKUP(A86, 'Bike Stations'!$A$2:$B$255, 2, FALSE) * VLOOKUP("Annual", 'Maintenance Activities'!$A$2:$B$5, 2, FALSE) / 60</f>
        <v>0</v>
      </c>
      <c r="F86" s="5">
        <f t="shared" si="1"/>
        <v>0</v>
      </c>
    </row>
    <row r="87" spans="1:6" x14ac:dyDescent="0.35">
      <c r="A87" t="str">
        <f>'Bike Stations'!A87</f>
        <v>Woodlands School</v>
      </c>
      <c r="B87">
        <f>VLOOKUP(A87, 'Bike Stations'!$A$2:$B87, 2, FALSE) * VLOOKUP("Weekly", 'Maintenance Activities'!$A$2:$B$5, 2, FALSE) /60</f>
        <v>0.83333333333333337</v>
      </c>
      <c r="C87">
        <f>VLOOKUP(A87, 'Bike Stations'!$A$2:$B$255, 2, FALSE) * VLOOKUP("Monthly", 'Maintenance Activities'!$A$2:$B$5, 2, FALSE) /60</f>
        <v>2.5</v>
      </c>
      <c r="D87">
        <f>VLOOKUP(A87, 'Bike Stations'!$A$2:$B$255, 2, FALSE) * VLOOKUP("Biannual", 'Maintenance Activities'!$A$2:$B$5, 2, FALSE) / 60</f>
        <v>5</v>
      </c>
      <c r="E87">
        <f>VLOOKUP(A87, 'Bike Stations'!$A$2:$B$255, 2, FALSE) * VLOOKUP("Annual", 'Maintenance Activities'!$A$2:$B$5, 2, FALSE) / 60</f>
        <v>10</v>
      </c>
      <c r="F87" s="5">
        <f t="shared" si="1"/>
        <v>18.333333333333336</v>
      </c>
    </row>
    <row r="88" spans="1:6" x14ac:dyDescent="0.35">
      <c r="A88" t="str">
        <f>'Bike Stations'!A88</f>
        <v>Dean Tennis &amp; Squash Club</v>
      </c>
      <c r="B88">
        <f>VLOOKUP(A88, 'Bike Stations'!$A$2:$B88, 2, FALSE) * VLOOKUP("Weekly", 'Maintenance Activities'!$A$2:$B$5, 2, FALSE) /60</f>
        <v>4.166666666666667</v>
      </c>
      <c r="C88">
        <f>VLOOKUP(A88, 'Bike Stations'!$A$2:$B$255, 2, FALSE) * VLOOKUP("Monthly", 'Maintenance Activities'!$A$2:$B$5, 2, FALSE) /60</f>
        <v>12.5</v>
      </c>
      <c r="D88">
        <f>VLOOKUP(A88, 'Bike Stations'!$A$2:$B$255, 2, FALSE) * VLOOKUP("Biannual", 'Maintenance Activities'!$A$2:$B$5, 2, FALSE) / 60</f>
        <v>25</v>
      </c>
      <c r="E88">
        <f>VLOOKUP(A88, 'Bike Stations'!$A$2:$B$255, 2, FALSE) * VLOOKUP("Annual", 'Maintenance Activities'!$A$2:$B$5, 2, FALSE) / 60</f>
        <v>50</v>
      </c>
      <c r="F88" s="5">
        <f t="shared" si="1"/>
        <v>91.666666666666671</v>
      </c>
    </row>
    <row r="89" spans="1:6" x14ac:dyDescent="0.35">
      <c r="A89" t="str">
        <f>'Bike Stations'!A89</f>
        <v>Old Craighall Road Park</v>
      </c>
      <c r="B89">
        <f>VLOOKUP(A89, 'Bike Stations'!$A$2:$B89, 2, FALSE) * VLOOKUP("Weekly", 'Maintenance Activities'!$A$2:$B$5, 2, FALSE) /60</f>
        <v>0.83333333333333337</v>
      </c>
      <c r="C89">
        <f>VLOOKUP(A89, 'Bike Stations'!$A$2:$B$255, 2, FALSE) * VLOOKUP("Monthly", 'Maintenance Activities'!$A$2:$B$5, 2, FALSE) /60</f>
        <v>2.5</v>
      </c>
      <c r="D89">
        <f>VLOOKUP(A89, 'Bike Stations'!$A$2:$B$255, 2, FALSE) * VLOOKUP("Biannual", 'Maintenance Activities'!$A$2:$B$5, 2, FALSE) / 60</f>
        <v>5</v>
      </c>
      <c r="E89">
        <f>VLOOKUP(A89, 'Bike Stations'!$A$2:$B$255, 2, FALSE) * VLOOKUP("Annual", 'Maintenance Activities'!$A$2:$B$5, 2, FALSE) / 60</f>
        <v>10</v>
      </c>
      <c r="F89" s="5">
        <f t="shared" si="1"/>
        <v>18.333333333333336</v>
      </c>
    </row>
    <row r="90" spans="1:6" x14ac:dyDescent="0.35">
      <c r="A90" t="str">
        <f>'Bike Stations'!A90</f>
        <v>Dryden Terrace</v>
      </c>
      <c r="B90">
        <f>VLOOKUP(A90, 'Bike Stations'!$A$2:$B90, 2, FALSE) * VLOOKUP("Weekly", 'Maintenance Activities'!$A$2:$B$5, 2, FALSE) /60</f>
        <v>0.83333333333333337</v>
      </c>
      <c r="C90">
        <f>VLOOKUP(A90, 'Bike Stations'!$A$2:$B$255, 2, FALSE) * VLOOKUP("Monthly", 'Maintenance Activities'!$A$2:$B$5, 2, FALSE) /60</f>
        <v>2.5</v>
      </c>
      <c r="D90">
        <f>VLOOKUP(A90, 'Bike Stations'!$A$2:$B$255, 2, FALSE) * VLOOKUP("Biannual", 'Maintenance Activities'!$A$2:$B$5, 2, FALSE) / 60</f>
        <v>5</v>
      </c>
      <c r="E90">
        <f>VLOOKUP(A90, 'Bike Stations'!$A$2:$B$255, 2, FALSE) * VLOOKUP("Annual", 'Maintenance Activities'!$A$2:$B$5, 2, FALSE) / 60</f>
        <v>10</v>
      </c>
      <c r="F90" s="5">
        <f t="shared" si="1"/>
        <v>18.333333333333336</v>
      </c>
    </row>
    <row r="91" spans="1:6" x14ac:dyDescent="0.35">
      <c r="A91" t="str">
        <f>'Bike Stations'!A91</f>
        <v>Balgreen Park</v>
      </c>
      <c r="B91">
        <f>VLOOKUP(A91, 'Bike Stations'!$A$2:$B91, 2, FALSE) * VLOOKUP("Weekly", 'Maintenance Activities'!$A$2:$B$5, 2, FALSE) /60</f>
        <v>0.83333333333333337</v>
      </c>
      <c r="C91">
        <f>VLOOKUP(A91, 'Bike Stations'!$A$2:$B$255, 2, FALSE) * VLOOKUP("Monthly", 'Maintenance Activities'!$A$2:$B$5, 2, FALSE) /60</f>
        <v>2.5</v>
      </c>
      <c r="D91">
        <f>VLOOKUP(A91, 'Bike Stations'!$A$2:$B$255, 2, FALSE) * VLOOKUP("Biannual", 'Maintenance Activities'!$A$2:$B$5, 2, FALSE) / 60</f>
        <v>5</v>
      </c>
      <c r="E91">
        <f>VLOOKUP(A91, 'Bike Stations'!$A$2:$B$255, 2, FALSE) * VLOOKUP("Annual", 'Maintenance Activities'!$A$2:$B$5, 2, FALSE) / 60</f>
        <v>10</v>
      </c>
      <c r="F91" s="5">
        <f t="shared" si="1"/>
        <v>18.333333333333336</v>
      </c>
    </row>
    <row r="92" spans="1:6" x14ac:dyDescent="0.35">
      <c r="A92" t="str">
        <f>'Bike Stations'!A92</f>
        <v>Coltin Mains Drive</v>
      </c>
      <c r="B92">
        <f>VLOOKUP(A92, 'Bike Stations'!$A$2:$B92, 2, FALSE) * VLOOKUP("Weekly", 'Maintenance Activities'!$A$2:$B$5, 2, FALSE) /60</f>
        <v>0</v>
      </c>
      <c r="C92">
        <f>VLOOKUP(A92, 'Bike Stations'!$A$2:$B$255, 2, FALSE) * VLOOKUP("Monthly", 'Maintenance Activities'!$A$2:$B$5, 2, FALSE) /60</f>
        <v>0</v>
      </c>
      <c r="D92">
        <f>VLOOKUP(A92, 'Bike Stations'!$A$2:$B$255, 2, FALSE) * VLOOKUP("Biannual", 'Maintenance Activities'!$A$2:$B$5, 2, FALSE) / 60</f>
        <v>0</v>
      </c>
      <c r="E92">
        <f>VLOOKUP(A92, 'Bike Stations'!$A$2:$B$255, 2, FALSE) * VLOOKUP("Annual", 'Maintenance Activities'!$A$2:$B$5, 2, FALSE) / 60</f>
        <v>0</v>
      </c>
      <c r="F92" s="5">
        <f t="shared" si="1"/>
        <v>0</v>
      </c>
    </row>
    <row r="93" spans="1:6" x14ac:dyDescent="0.35">
      <c r="A93" t="str">
        <f>'Bike Stations'!A93</f>
        <v>Albert Terrace</v>
      </c>
      <c r="B93">
        <f>VLOOKUP(A93, 'Bike Stations'!$A$2:$B93, 2, FALSE) * VLOOKUP("Weekly", 'Maintenance Activities'!$A$2:$B$5, 2, FALSE) /60</f>
        <v>0</v>
      </c>
      <c r="C93">
        <f>VLOOKUP(A93, 'Bike Stations'!$A$2:$B$255, 2, FALSE) * VLOOKUP("Monthly", 'Maintenance Activities'!$A$2:$B$5, 2, FALSE) /60</f>
        <v>0</v>
      </c>
      <c r="D93">
        <f>VLOOKUP(A93, 'Bike Stations'!$A$2:$B$255, 2, FALSE) * VLOOKUP("Biannual", 'Maintenance Activities'!$A$2:$B$5, 2, FALSE) / 60</f>
        <v>0</v>
      </c>
      <c r="E93">
        <f>VLOOKUP(A93, 'Bike Stations'!$A$2:$B$255, 2, FALSE) * VLOOKUP("Annual", 'Maintenance Activities'!$A$2:$B$5, 2, FALSE) / 60</f>
        <v>0</v>
      </c>
      <c r="F93" s="5">
        <f t="shared" si="1"/>
        <v>0</v>
      </c>
    </row>
    <row r="94" spans="1:6" x14ac:dyDescent="0.35">
      <c r="A94" t="str">
        <f>'Bike Stations'!A94</f>
        <v>Grassmarket</v>
      </c>
      <c r="B94">
        <f>VLOOKUP(A94, 'Bike Stations'!$A$2:$B94, 2, FALSE) * VLOOKUP("Weekly", 'Maintenance Activities'!$A$2:$B$5, 2, FALSE) /60</f>
        <v>9.1666666666666661</v>
      </c>
      <c r="C94">
        <f>VLOOKUP(A94, 'Bike Stations'!$A$2:$B$255, 2, FALSE) * VLOOKUP("Monthly", 'Maintenance Activities'!$A$2:$B$5, 2, FALSE) /60</f>
        <v>27.5</v>
      </c>
      <c r="D94">
        <f>VLOOKUP(A94, 'Bike Stations'!$A$2:$B$255, 2, FALSE) * VLOOKUP("Biannual", 'Maintenance Activities'!$A$2:$B$5, 2, FALSE) / 60</f>
        <v>55</v>
      </c>
      <c r="E94">
        <f>VLOOKUP(A94, 'Bike Stations'!$A$2:$B$255, 2, FALSE) * VLOOKUP("Annual", 'Maintenance Activities'!$A$2:$B$5, 2, FALSE) / 60</f>
        <v>110</v>
      </c>
      <c r="F94" s="5">
        <f t="shared" si="1"/>
        <v>201.66666666666666</v>
      </c>
    </row>
    <row r="95" spans="1:6" x14ac:dyDescent="0.35">
      <c r="A95" t="str">
        <f>'Bike Stations'!A95</f>
        <v>Marionville Crescent</v>
      </c>
      <c r="B95">
        <f>VLOOKUP(A95, 'Bike Stations'!$A$2:$B95, 2, FALSE) * VLOOKUP("Weekly", 'Maintenance Activities'!$A$2:$B$5, 2, FALSE) /60</f>
        <v>0.83333333333333337</v>
      </c>
      <c r="C95">
        <f>VLOOKUP(A95, 'Bike Stations'!$A$2:$B$255, 2, FALSE) * VLOOKUP("Monthly", 'Maintenance Activities'!$A$2:$B$5, 2, FALSE) /60</f>
        <v>2.5</v>
      </c>
      <c r="D95">
        <f>VLOOKUP(A95, 'Bike Stations'!$A$2:$B$255, 2, FALSE) * VLOOKUP("Biannual", 'Maintenance Activities'!$A$2:$B$5, 2, FALSE) / 60</f>
        <v>5</v>
      </c>
      <c r="E95">
        <f>VLOOKUP(A95, 'Bike Stations'!$A$2:$B$255, 2, FALSE) * VLOOKUP("Annual", 'Maintenance Activities'!$A$2:$B$5, 2, FALSE) / 60</f>
        <v>10</v>
      </c>
      <c r="F95" s="5">
        <f t="shared" si="1"/>
        <v>18.333333333333336</v>
      </c>
    </row>
    <row r="96" spans="1:6" x14ac:dyDescent="0.35">
      <c r="A96" t="str">
        <f>'Bike Stations'!A96</f>
        <v>South Morningside Primary School</v>
      </c>
      <c r="B96">
        <f>VLOOKUP(A96, 'Bike Stations'!$A$2:$B96, 2, FALSE) * VLOOKUP("Weekly", 'Maintenance Activities'!$A$2:$B$5, 2, FALSE) /60</f>
        <v>0.83333333333333337</v>
      </c>
      <c r="C96">
        <f>VLOOKUP(A96, 'Bike Stations'!$A$2:$B$255, 2, FALSE) * VLOOKUP("Monthly", 'Maintenance Activities'!$A$2:$B$5, 2, FALSE) /60</f>
        <v>2.5</v>
      </c>
      <c r="D96">
        <f>VLOOKUP(A96, 'Bike Stations'!$A$2:$B$255, 2, FALSE) * VLOOKUP("Biannual", 'Maintenance Activities'!$A$2:$B$5, 2, FALSE) / 60</f>
        <v>5</v>
      </c>
      <c r="E96">
        <f>VLOOKUP(A96, 'Bike Stations'!$A$2:$B$255, 2, FALSE) * VLOOKUP("Annual", 'Maintenance Activities'!$A$2:$B$5, 2, FALSE) / 60</f>
        <v>10</v>
      </c>
      <c r="F96" s="5">
        <f t="shared" si="1"/>
        <v>18.333333333333336</v>
      </c>
    </row>
    <row r="97" spans="1:6" x14ac:dyDescent="0.35">
      <c r="A97" t="str">
        <f>'Bike Stations'!A97</f>
        <v>Edmonstone Road</v>
      </c>
      <c r="B97">
        <f>VLOOKUP(A97, 'Bike Stations'!$A$2:$B97, 2, FALSE) * VLOOKUP("Weekly", 'Maintenance Activities'!$A$2:$B$5, 2, FALSE) /60</f>
        <v>0</v>
      </c>
      <c r="C97">
        <f>VLOOKUP(A97, 'Bike Stations'!$A$2:$B$255, 2, FALSE) * VLOOKUP("Monthly", 'Maintenance Activities'!$A$2:$B$5, 2, FALSE) /60</f>
        <v>0</v>
      </c>
      <c r="D97">
        <f>VLOOKUP(A97, 'Bike Stations'!$A$2:$B$255, 2, FALSE) * VLOOKUP("Biannual", 'Maintenance Activities'!$A$2:$B$5, 2, FALSE) / 60</f>
        <v>0</v>
      </c>
      <c r="E97">
        <f>VLOOKUP(A97, 'Bike Stations'!$A$2:$B$255, 2, FALSE) * VLOOKUP("Annual", 'Maintenance Activities'!$A$2:$B$5, 2, FALSE) / 60</f>
        <v>0</v>
      </c>
      <c r="F97" s="5">
        <f t="shared" si="1"/>
        <v>0</v>
      </c>
    </row>
    <row r="98" spans="1:6" x14ac:dyDescent="0.35">
      <c r="A98" t="str">
        <f>'Bike Stations'!A98</f>
        <v>Robert Burns Drive</v>
      </c>
      <c r="B98">
        <f>VLOOKUP(A98, 'Bike Stations'!$A$2:$B98, 2, FALSE) * VLOOKUP("Weekly", 'Maintenance Activities'!$A$2:$B$5, 2, FALSE) /60</f>
        <v>0.83333333333333337</v>
      </c>
      <c r="C98">
        <f>VLOOKUP(A98, 'Bike Stations'!$A$2:$B$255, 2, FALSE) * VLOOKUP("Monthly", 'Maintenance Activities'!$A$2:$B$5, 2, FALSE) /60</f>
        <v>2.5</v>
      </c>
      <c r="D98">
        <f>VLOOKUP(A98, 'Bike Stations'!$A$2:$B$255, 2, FALSE) * VLOOKUP("Biannual", 'Maintenance Activities'!$A$2:$B$5, 2, FALSE) / 60</f>
        <v>5</v>
      </c>
      <c r="E98">
        <f>VLOOKUP(A98, 'Bike Stations'!$A$2:$B$255, 2, FALSE) * VLOOKUP("Annual", 'Maintenance Activities'!$A$2:$B$5, 2, FALSE) / 60</f>
        <v>10</v>
      </c>
      <c r="F98" s="5">
        <f t="shared" si="1"/>
        <v>18.333333333333336</v>
      </c>
    </row>
    <row r="99" spans="1:6" x14ac:dyDescent="0.35">
      <c r="A99" t="str">
        <f>'Bike Stations'!A99</f>
        <v>Crewe Road South</v>
      </c>
      <c r="B99">
        <f>VLOOKUP(A99, 'Bike Stations'!$A$2:$B99, 2, FALSE) * VLOOKUP("Weekly", 'Maintenance Activities'!$A$2:$B$5, 2, FALSE) /60</f>
        <v>9.1666666666666661</v>
      </c>
      <c r="C99">
        <f>VLOOKUP(A99, 'Bike Stations'!$A$2:$B$255, 2, FALSE) * VLOOKUP("Monthly", 'Maintenance Activities'!$A$2:$B$5, 2, FALSE) /60</f>
        <v>27.5</v>
      </c>
      <c r="D99">
        <f>VLOOKUP(A99, 'Bike Stations'!$A$2:$B$255, 2, FALSE) * VLOOKUP("Biannual", 'Maintenance Activities'!$A$2:$B$5, 2, FALSE) / 60</f>
        <v>55</v>
      </c>
      <c r="E99">
        <f>VLOOKUP(A99, 'Bike Stations'!$A$2:$B$255, 2, FALSE) * VLOOKUP("Annual", 'Maintenance Activities'!$A$2:$B$5, 2, FALSE) / 60</f>
        <v>110</v>
      </c>
      <c r="F99" s="5">
        <f t="shared" si="1"/>
        <v>201.66666666666666</v>
      </c>
    </row>
    <row r="100" spans="1:6" x14ac:dyDescent="0.35">
      <c r="A100" t="str">
        <f>'Bike Stations'!A100</f>
        <v>Maybury Medical Practice</v>
      </c>
      <c r="B100">
        <f>VLOOKUP(A100, 'Bike Stations'!$A$2:$B100, 2, FALSE) * VLOOKUP("Weekly", 'Maintenance Activities'!$A$2:$B$5, 2, FALSE) /60</f>
        <v>0</v>
      </c>
      <c r="C100">
        <f>VLOOKUP(A100, 'Bike Stations'!$A$2:$B$255, 2, FALSE) * VLOOKUP("Monthly", 'Maintenance Activities'!$A$2:$B$5, 2, FALSE) /60</f>
        <v>0</v>
      </c>
      <c r="D100">
        <f>VLOOKUP(A100, 'Bike Stations'!$A$2:$B$255, 2, FALSE) * VLOOKUP("Biannual", 'Maintenance Activities'!$A$2:$B$5, 2, FALSE) / 60</f>
        <v>0</v>
      </c>
      <c r="E100">
        <f>VLOOKUP(A100, 'Bike Stations'!$A$2:$B$255, 2, FALSE) * VLOOKUP("Annual", 'Maintenance Activities'!$A$2:$B$5, 2, FALSE) / 60</f>
        <v>0</v>
      </c>
      <c r="F100" s="5">
        <f t="shared" si="1"/>
        <v>0</v>
      </c>
    </row>
    <row r="101" spans="1:6" x14ac:dyDescent="0.35">
      <c r="A101" t="str">
        <f>'Bike Stations'!A101</f>
        <v>Darroch Annex</v>
      </c>
      <c r="B101">
        <f>VLOOKUP(A101, 'Bike Stations'!$A$2:$B101, 2, FALSE) * VLOOKUP("Weekly", 'Maintenance Activities'!$A$2:$B$5, 2, FALSE) /60</f>
        <v>0.83333333333333337</v>
      </c>
      <c r="C101">
        <f>VLOOKUP(A101, 'Bike Stations'!$A$2:$B$255, 2, FALSE) * VLOOKUP("Monthly", 'Maintenance Activities'!$A$2:$B$5, 2, FALSE) /60</f>
        <v>2.5</v>
      </c>
      <c r="D101">
        <f>VLOOKUP(A101, 'Bike Stations'!$A$2:$B$255, 2, FALSE) * VLOOKUP("Biannual", 'Maintenance Activities'!$A$2:$B$5, 2, FALSE) / 60</f>
        <v>5</v>
      </c>
      <c r="E101">
        <f>VLOOKUP(A101, 'Bike Stations'!$A$2:$B$255, 2, FALSE) * VLOOKUP("Annual", 'Maintenance Activities'!$A$2:$B$5, 2, FALSE) / 60</f>
        <v>10</v>
      </c>
      <c r="F101" s="5">
        <f t="shared" si="1"/>
        <v>18.333333333333336</v>
      </c>
    </row>
    <row r="102" spans="1:6" x14ac:dyDescent="0.35">
      <c r="A102" t="str">
        <f>'Bike Stations'!A102</f>
        <v>Old Kirk Road</v>
      </c>
      <c r="B102">
        <f>VLOOKUP(A102, 'Bike Stations'!$A$2:$B102, 2, FALSE) * VLOOKUP("Weekly", 'Maintenance Activities'!$A$2:$B$5, 2, FALSE) /60</f>
        <v>0.83333333333333337</v>
      </c>
      <c r="C102">
        <f>VLOOKUP(A102, 'Bike Stations'!$A$2:$B$255, 2, FALSE) * VLOOKUP("Monthly", 'Maintenance Activities'!$A$2:$B$5, 2, FALSE) /60</f>
        <v>2.5</v>
      </c>
      <c r="D102">
        <f>VLOOKUP(A102, 'Bike Stations'!$A$2:$B$255, 2, FALSE) * VLOOKUP("Biannual", 'Maintenance Activities'!$A$2:$B$5, 2, FALSE) / 60</f>
        <v>5</v>
      </c>
      <c r="E102">
        <f>VLOOKUP(A102, 'Bike Stations'!$A$2:$B$255, 2, FALSE) * VLOOKUP("Annual", 'Maintenance Activities'!$A$2:$B$5, 2, FALSE) / 60</f>
        <v>10</v>
      </c>
      <c r="F102" s="5">
        <f t="shared" si="1"/>
        <v>18.333333333333336</v>
      </c>
    </row>
    <row r="103" spans="1:6" x14ac:dyDescent="0.35">
      <c r="A103" t="str">
        <f>'Bike Stations'!A103</f>
        <v>Juniper Green Tennis Club</v>
      </c>
      <c r="B103">
        <f>VLOOKUP(A103, 'Bike Stations'!$A$2:$B103, 2, FALSE) * VLOOKUP("Weekly", 'Maintenance Activities'!$A$2:$B$5, 2, FALSE) /60</f>
        <v>0</v>
      </c>
      <c r="C103">
        <f>VLOOKUP(A103, 'Bike Stations'!$A$2:$B$255, 2, FALSE) * VLOOKUP("Monthly", 'Maintenance Activities'!$A$2:$B$5, 2, FALSE) /60</f>
        <v>0</v>
      </c>
      <c r="D103">
        <f>VLOOKUP(A103, 'Bike Stations'!$A$2:$B$255, 2, FALSE) * VLOOKUP("Biannual", 'Maintenance Activities'!$A$2:$B$5, 2, FALSE) / 60</f>
        <v>0</v>
      </c>
      <c r="E103">
        <f>VLOOKUP(A103, 'Bike Stations'!$A$2:$B$255, 2, FALSE) * VLOOKUP("Annual", 'Maintenance Activities'!$A$2:$B$5, 2, FALSE) / 60</f>
        <v>0</v>
      </c>
      <c r="F103" s="5">
        <f t="shared" si="1"/>
        <v>0</v>
      </c>
    </row>
    <row r="104" spans="1:6" x14ac:dyDescent="0.35">
      <c r="A104" t="str">
        <f>'Bike Stations'!A104</f>
        <v>Ravenswood Avenue</v>
      </c>
      <c r="B104">
        <f>VLOOKUP(A104, 'Bike Stations'!$A$2:$B104, 2, FALSE) * VLOOKUP("Weekly", 'Maintenance Activities'!$A$2:$B$5, 2, FALSE) /60</f>
        <v>0</v>
      </c>
      <c r="C104">
        <f>VLOOKUP(A104, 'Bike Stations'!$A$2:$B$255, 2, FALSE) * VLOOKUP("Monthly", 'Maintenance Activities'!$A$2:$B$5, 2, FALSE) /60</f>
        <v>0</v>
      </c>
      <c r="D104">
        <f>VLOOKUP(A104, 'Bike Stations'!$A$2:$B$255, 2, FALSE) * VLOOKUP("Biannual", 'Maintenance Activities'!$A$2:$B$5, 2, FALSE) / 60</f>
        <v>0</v>
      </c>
      <c r="E104">
        <f>VLOOKUP(A104, 'Bike Stations'!$A$2:$B$255, 2, FALSE) * VLOOKUP("Annual", 'Maintenance Activities'!$A$2:$B$5, 2, FALSE) / 60</f>
        <v>0</v>
      </c>
      <c r="F104" s="5">
        <f t="shared" si="1"/>
        <v>0</v>
      </c>
    </row>
    <row r="105" spans="1:6" x14ac:dyDescent="0.35">
      <c r="A105" t="str">
        <f>'Bike Stations'!A105</f>
        <v>Gracemount Primary School</v>
      </c>
      <c r="B105">
        <f>VLOOKUP(A105, 'Bike Stations'!$A$2:$B105, 2, FALSE) * VLOOKUP("Weekly", 'Maintenance Activities'!$A$2:$B$5, 2, FALSE) /60</f>
        <v>0</v>
      </c>
      <c r="C105">
        <f>VLOOKUP(A105, 'Bike Stations'!$A$2:$B$255, 2, FALSE) * VLOOKUP("Monthly", 'Maintenance Activities'!$A$2:$B$5, 2, FALSE) /60</f>
        <v>0</v>
      </c>
      <c r="D105">
        <f>VLOOKUP(A105, 'Bike Stations'!$A$2:$B$255, 2, FALSE) * VLOOKUP("Biannual", 'Maintenance Activities'!$A$2:$B$5, 2, FALSE) / 60</f>
        <v>0</v>
      </c>
      <c r="E105">
        <f>VLOOKUP(A105, 'Bike Stations'!$A$2:$B$255, 2, FALSE) * VLOOKUP("Annual", 'Maintenance Activities'!$A$2:$B$5, 2, FALSE) / 60</f>
        <v>0</v>
      </c>
      <c r="F105" s="5">
        <f t="shared" si="1"/>
        <v>0</v>
      </c>
    </row>
    <row r="106" spans="1:6" x14ac:dyDescent="0.35">
      <c r="A106" t="str">
        <f>'Bike Stations'!A106</f>
        <v>Milton Gardens North</v>
      </c>
      <c r="B106">
        <f>VLOOKUP(A106, 'Bike Stations'!$A$2:$B106, 2, FALSE) * VLOOKUP("Weekly", 'Maintenance Activities'!$A$2:$B$5, 2, FALSE) /60</f>
        <v>0.83333333333333337</v>
      </c>
      <c r="C106">
        <f>VLOOKUP(A106, 'Bike Stations'!$A$2:$B$255, 2, FALSE) * VLOOKUP("Monthly", 'Maintenance Activities'!$A$2:$B$5, 2, FALSE) /60</f>
        <v>2.5</v>
      </c>
      <c r="D106">
        <f>VLOOKUP(A106, 'Bike Stations'!$A$2:$B$255, 2, FALSE) * VLOOKUP("Biannual", 'Maintenance Activities'!$A$2:$B$5, 2, FALSE) / 60</f>
        <v>5</v>
      </c>
      <c r="E106">
        <f>VLOOKUP(A106, 'Bike Stations'!$A$2:$B$255, 2, FALSE) * VLOOKUP("Annual", 'Maintenance Activities'!$A$2:$B$5, 2, FALSE) / 60</f>
        <v>10</v>
      </c>
      <c r="F106" s="5">
        <f t="shared" si="1"/>
        <v>18.333333333333336</v>
      </c>
    </row>
    <row r="107" spans="1:6" x14ac:dyDescent="0.35">
      <c r="A107" t="str">
        <f>'Bike Stations'!A107</f>
        <v>Broomhall Gardens</v>
      </c>
      <c r="B107">
        <f>VLOOKUP(A107, 'Bike Stations'!$A$2:$B107, 2, FALSE) * VLOOKUP("Weekly", 'Maintenance Activities'!$A$2:$B$5, 2, FALSE) /60</f>
        <v>0.83333333333333337</v>
      </c>
      <c r="C107">
        <f>VLOOKUP(A107, 'Bike Stations'!$A$2:$B$255, 2, FALSE) * VLOOKUP("Monthly", 'Maintenance Activities'!$A$2:$B$5, 2, FALSE) /60</f>
        <v>2.5</v>
      </c>
      <c r="D107">
        <f>VLOOKUP(A107, 'Bike Stations'!$A$2:$B$255, 2, FALSE) * VLOOKUP("Biannual", 'Maintenance Activities'!$A$2:$B$5, 2, FALSE) / 60</f>
        <v>5</v>
      </c>
      <c r="E107">
        <f>VLOOKUP(A107, 'Bike Stations'!$A$2:$B$255, 2, FALSE) * VLOOKUP("Annual", 'Maintenance Activities'!$A$2:$B$5, 2, FALSE) / 60</f>
        <v>10</v>
      </c>
      <c r="F107" s="5">
        <f t="shared" si="1"/>
        <v>18.333333333333336</v>
      </c>
    </row>
    <row r="108" spans="1:6" x14ac:dyDescent="0.35">
      <c r="A108" t="str">
        <f>'Bike Stations'!A108</f>
        <v>Kilgraston Road</v>
      </c>
      <c r="B108">
        <f>VLOOKUP(A108, 'Bike Stations'!$A$2:$B108, 2, FALSE) * VLOOKUP("Weekly", 'Maintenance Activities'!$A$2:$B$5, 2, FALSE) /60</f>
        <v>0.83333333333333337</v>
      </c>
      <c r="C108">
        <f>VLOOKUP(A108, 'Bike Stations'!$A$2:$B$255, 2, FALSE) * VLOOKUP("Monthly", 'Maintenance Activities'!$A$2:$B$5, 2, FALSE) /60</f>
        <v>2.5</v>
      </c>
      <c r="D108">
        <f>VLOOKUP(A108, 'Bike Stations'!$A$2:$B$255, 2, FALSE) * VLOOKUP("Biannual", 'Maintenance Activities'!$A$2:$B$5, 2, FALSE) / 60</f>
        <v>5</v>
      </c>
      <c r="E108">
        <f>VLOOKUP(A108, 'Bike Stations'!$A$2:$B$255, 2, FALSE) * VLOOKUP("Annual", 'Maintenance Activities'!$A$2:$B$5, 2, FALSE) / 60</f>
        <v>10</v>
      </c>
      <c r="F108" s="5">
        <f t="shared" si="1"/>
        <v>18.333333333333336</v>
      </c>
    </row>
    <row r="109" spans="1:6" x14ac:dyDescent="0.35">
      <c r="A109" t="str">
        <f>'Bike Stations'!A109</f>
        <v>Dudley Bowling Club</v>
      </c>
      <c r="B109">
        <f>VLOOKUP(A109, 'Bike Stations'!$A$2:$B109, 2, FALSE) * VLOOKUP("Weekly", 'Maintenance Activities'!$A$2:$B$5, 2, FALSE) /60</f>
        <v>9.1666666666666661</v>
      </c>
      <c r="C109">
        <f>VLOOKUP(A109, 'Bike Stations'!$A$2:$B$255, 2, FALSE) * VLOOKUP("Monthly", 'Maintenance Activities'!$A$2:$B$5, 2, FALSE) /60</f>
        <v>27.5</v>
      </c>
      <c r="D109">
        <f>VLOOKUP(A109, 'Bike Stations'!$A$2:$B$255, 2, FALSE) * VLOOKUP("Biannual", 'Maintenance Activities'!$A$2:$B$5, 2, FALSE) / 60</f>
        <v>55</v>
      </c>
      <c r="E109">
        <f>VLOOKUP(A109, 'Bike Stations'!$A$2:$B$255, 2, FALSE) * VLOOKUP("Annual", 'Maintenance Activities'!$A$2:$B$5, 2, FALSE) / 60</f>
        <v>110</v>
      </c>
      <c r="F109" s="5">
        <f t="shared" si="1"/>
        <v>201.66666666666666</v>
      </c>
    </row>
    <row r="110" spans="1:6" x14ac:dyDescent="0.35">
      <c r="A110" t="str">
        <f>'Bike Stations'!A110</f>
        <v>Winton Loan</v>
      </c>
      <c r="B110">
        <f>VLOOKUP(A110, 'Bike Stations'!$A$2:$B110, 2, FALSE) * VLOOKUP("Weekly", 'Maintenance Activities'!$A$2:$B$5, 2, FALSE) /60</f>
        <v>0</v>
      </c>
      <c r="C110">
        <f>VLOOKUP(A110, 'Bike Stations'!$A$2:$B$255, 2, FALSE) * VLOOKUP("Monthly", 'Maintenance Activities'!$A$2:$B$5, 2, FALSE) /60</f>
        <v>0</v>
      </c>
      <c r="D110">
        <f>VLOOKUP(A110, 'Bike Stations'!$A$2:$B$255, 2, FALSE) * VLOOKUP("Biannual", 'Maintenance Activities'!$A$2:$B$5, 2, FALSE) / 60</f>
        <v>0</v>
      </c>
      <c r="E110">
        <f>VLOOKUP(A110, 'Bike Stations'!$A$2:$B$255, 2, FALSE) * VLOOKUP("Annual", 'Maintenance Activities'!$A$2:$B$5, 2, FALSE) / 60</f>
        <v>0</v>
      </c>
      <c r="F110" s="5">
        <f t="shared" si="1"/>
        <v>0</v>
      </c>
    </row>
    <row r="111" spans="1:6" x14ac:dyDescent="0.35">
      <c r="A111" t="str">
        <f>'Bike Stations'!A111</f>
        <v>Castlegreen Care Home</v>
      </c>
      <c r="B111">
        <f>VLOOKUP(A111, 'Bike Stations'!$A$2:$B111, 2, FALSE) * VLOOKUP("Weekly", 'Maintenance Activities'!$A$2:$B$5, 2, FALSE) /60</f>
        <v>0</v>
      </c>
      <c r="C111">
        <f>VLOOKUP(A111, 'Bike Stations'!$A$2:$B$255, 2, FALSE) * VLOOKUP("Monthly", 'Maintenance Activities'!$A$2:$B$5, 2, FALSE) /60</f>
        <v>0</v>
      </c>
      <c r="D111">
        <f>VLOOKUP(A111, 'Bike Stations'!$A$2:$B$255, 2, FALSE) * VLOOKUP("Biannual", 'Maintenance Activities'!$A$2:$B$5, 2, FALSE) / 60</f>
        <v>0</v>
      </c>
      <c r="E111">
        <f>VLOOKUP(A111, 'Bike Stations'!$A$2:$B$255, 2, FALSE) * VLOOKUP("Annual", 'Maintenance Activities'!$A$2:$B$5, 2, FALSE) / 60</f>
        <v>0</v>
      </c>
      <c r="F111" s="5">
        <f t="shared" si="1"/>
        <v>0</v>
      </c>
    </row>
    <row r="112" spans="1:6" x14ac:dyDescent="0.35">
      <c r="A112" t="str">
        <f>'Bike Stations'!A112</f>
        <v>Drumbrae Leisure Centre</v>
      </c>
      <c r="B112">
        <f>VLOOKUP(A112, 'Bike Stations'!$A$2:$B112, 2, FALSE) * VLOOKUP("Weekly", 'Maintenance Activities'!$A$2:$B$5, 2, FALSE) /60</f>
        <v>0.83333333333333337</v>
      </c>
      <c r="C112">
        <f>VLOOKUP(A112, 'Bike Stations'!$A$2:$B$255, 2, FALSE) * VLOOKUP("Monthly", 'Maintenance Activities'!$A$2:$B$5, 2, FALSE) /60</f>
        <v>2.5</v>
      </c>
      <c r="D112">
        <f>VLOOKUP(A112, 'Bike Stations'!$A$2:$B$255, 2, FALSE) * VLOOKUP("Biannual", 'Maintenance Activities'!$A$2:$B$5, 2, FALSE) / 60</f>
        <v>5</v>
      </c>
      <c r="E112">
        <f>VLOOKUP(A112, 'Bike Stations'!$A$2:$B$255, 2, FALSE) * VLOOKUP("Annual", 'Maintenance Activities'!$A$2:$B$5, 2, FALSE) / 60</f>
        <v>10</v>
      </c>
      <c r="F112" s="5">
        <f t="shared" si="1"/>
        <v>18.333333333333336</v>
      </c>
    </row>
    <row r="113" spans="1:6" x14ac:dyDescent="0.35">
      <c r="A113" t="str">
        <f>'Bike Stations'!A113</f>
        <v>Criaglockhart Telephone Exchange</v>
      </c>
      <c r="B113">
        <f>VLOOKUP(A113, 'Bike Stations'!$A$2:$B113, 2, FALSE) * VLOOKUP("Weekly", 'Maintenance Activities'!$A$2:$B$5, 2, FALSE) /60</f>
        <v>0.83333333333333337</v>
      </c>
      <c r="C113">
        <f>VLOOKUP(A113, 'Bike Stations'!$A$2:$B$255, 2, FALSE) * VLOOKUP("Monthly", 'Maintenance Activities'!$A$2:$B$5, 2, FALSE) /60</f>
        <v>2.5</v>
      </c>
      <c r="D113">
        <f>VLOOKUP(A113, 'Bike Stations'!$A$2:$B$255, 2, FALSE) * VLOOKUP("Biannual", 'Maintenance Activities'!$A$2:$B$5, 2, FALSE) / 60</f>
        <v>5</v>
      </c>
      <c r="E113">
        <f>VLOOKUP(A113, 'Bike Stations'!$A$2:$B$255, 2, FALSE) * VLOOKUP("Annual", 'Maintenance Activities'!$A$2:$B$5, 2, FALSE) / 60</f>
        <v>10</v>
      </c>
      <c r="F113" s="5">
        <f t="shared" si="1"/>
        <v>18.333333333333336</v>
      </c>
    </row>
    <row r="114" spans="1:6" x14ac:dyDescent="0.35">
      <c r="A114" t="str">
        <f>'Bike Stations'!A114</f>
        <v>Dalkieth High School</v>
      </c>
      <c r="B114">
        <f>VLOOKUP(A114, 'Bike Stations'!$A$2:$B114, 2, FALSE) * VLOOKUP("Weekly", 'Maintenance Activities'!$A$2:$B$5, 2, FALSE) /60</f>
        <v>0</v>
      </c>
      <c r="C114">
        <f>VLOOKUP(A114, 'Bike Stations'!$A$2:$B$255, 2, FALSE) * VLOOKUP("Monthly", 'Maintenance Activities'!$A$2:$B$5, 2, FALSE) /60</f>
        <v>0</v>
      </c>
      <c r="D114">
        <f>VLOOKUP(A114, 'Bike Stations'!$A$2:$B$255, 2, FALSE) * VLOOKUP("Biannual", 'Maintenance Activities'!$A$2:$B$5, 2, FALSE) / 60</f>
        <v>0</v>
      </c>
      <c r="E114">
        <f>VLOOKUP(A114, 'Bike Stations'!$A$2:$B$255, 2, FALSE) * VLOOKUP("Annual", 'Maintenance Activities'!$A$2:$B$5, 2, FALSE) / 60</f>
        <v>0</v>
      </c>
      <c r="F114" s="5">
        <f t="shared" si="1"/>
        <v>0</v>
      </c>
    </row>
    <row r="115" spans="1:6" x14ac:dyDescent="0.35">
      <c r="A115" t="str">
        <f>'Bike Stations'!A115</f>
        <v>Prestonfield Avenue</v>
      </c>
      <c r="B115">
        <f>VLOOKUP(A115, 'Bike Stations'!$A$2:$B115, 2, FALSE) * VLOOKUP("Weekly", 'Maintenance Activities'!$A$2:$B$5, 2, FALSE) /60</f>
        <v>0</v>
      </c>
      <c r="C115">
        <f>VLOOKUP(A115, 'Bike Stations'!$A$2:$B$255, 2, FALSE) * VLOOKUP("Monthly", 'Maintenance Activities'!$A$2:$B$5, 2, FALSE) /60</f>
        <v>0</v>
      </c>
      <c r="D115">
        <f>VLOOKUP(A115, 'Bike Stations'!$A$2:$B$255, 2, FALSE) * VLOOKUP("Biannual", 'Maintenance Activities'!$A$2:$B$5, 2, FALSE) / 60</f>
        <v>0</v>
      </c>
      <c r="E115">
        <f>VLOOKUP(A115, 'Bike Stations'!$A$2:$B$255, 2, FALSE) * VLOOKUP("Annual", 'Maintenance Activities'!$A$2:$B$5, 2, FALSE) / 60</f>
        <v>0</v>
      </c>
      <c r="F115" s="5">
        <f t="shared" si="1"/>
        <v>0</v>
      </c>
    </row>
    <row r="116" spans="1:6" x14ac:dyDescent="0.35">
      <c r="A116" t="str">
        <f>'Bike Stations'!A116</f>
        <v>Springwell Medical Centre</v>
      </c>
      <c r="B116">
        <f>VLOOKUP(A116, 'Bike Stations'!$A$2:$B116, 2, FALSE) * VLOOKUP("Weekly", 'Maintenance Activities'!$A$2:$B$5, 2, FALSE) /60</f>
        <v>1.6666666666667613</v>
      </c>
      <c r="C116">
        <f>VLOOKUP(A116, 'Bike Stations'!$A$2:$B$255, 2, FALSE) * VLOOKUP("Monthly", 'Maintenance Activities'!$A$2:$B$5, 2, FALSE) /60</f>
        <v>5.0000000000002842</v>
      </c>
      <c r="D116">
        <f>VLOOKUP(A116, 'Bike Stations'!$A$2:$B$255, 2, FALSE) * VLOOKUP("Biannual", 'Maintenance Activities'!$A$2:$B$5, 2, FALSE) / 60</f>
        <v>10.000000000000568</v>
      </c>
      <c r="E116">
        <f>VLOOKUP(A116, 'Bike Stations'!$A$2:$B$255, 2, FALSE) * VLOOKUP("Annual", 'Maintenance Activities'!$A$2:$B$5, 2, FALSE) / 60</f>
        <v>20.000000000001137</v>
      </c>
      <c r="F116" s="5">
        <f t="shared" si="1"/>
        <v>36.666666666668746</v>
      </c>
    </row>
    <row r="117" spans="1:6" x14ac:dyDescent="0.35">
      <c r="A117" t="str">
        <f>'Bike Stations'!A117</f>
        <v>Braid Hills Approach</v>
      </c>
      <c r="B117">
        <f>VLOOKUP(A117, 'Bike Stations'!$A$2:$B117, 2, FALSE) * VLOOKUP("Weekly", 'Maintenance Activities'!$A$2:$B$5, 2, FALSE) /60</f>
        <v>0</v>
      </c>
      <c r="C117">
        <f>VLOOKUP(A117, 'Bike Stations'!$A$2:$B$255, 2, FALSE) * VLOOKUP("Monthly", 'Maintenance Activities'!$A$2:$B$5, 2, FALSE) /60</f>
        <v>0</v>
      </c>
      <c r="D117">
        <f>VLOOKUP(A117, 'Bike Stations'!$A$2:$B$255, 2, FALSE) * VLOOKUP("Biannual", 'Maintenance Activities'!$A$2:$B$5, 2, FALSE) / 60</f>
        <v>0</v>
      </c>
      <c r="E117">
        <f>VLOOKUP(A117, 'Bike Stations'!$A$2:$B$255, 2, FALSE) * VLOOKUP("Annual", 'Maintenance Activities'!$A$2:$B$5, 2, FALSE) / 60</f>
        <v>0</v>
      </c>
      <c r="F117" s="5">
        <f t="shared" si="1"/>
        <v>0</v>
      </c>
    </row>
    <row r="118" spans="1:6" x14ac:dyDescent="0.35">
      <c r="A118" t="str">
        <f>'Bike Stations'!A118</f>
        <v>Colinton Bowling Club</v>
      </c>
      <c r="B118">
        <f>VLOOKUP(A118, 'Bike Stations'!$A$2:$B118, 2, FALSE) * VLOOKUP("Weekly", 'Maintenance Activities'!$A$2:$B$5, 2, FALSE) /60</f>
        <v>0</v>
      </c>
      <c r="C118">
        <f>VLOOKUP(A118, 'Bike Stations'!$A$2:$B$255, 2, FALSE) * VLOOKUP("Monthly", 'Maintenance Activities'!$A$2:$B$5, 2, FALSE) /60</f>
        <v>0</v>
      </c>
      <c r="D118">
        <f>VLOOKUP(A118, 'Bike Stations'!$A$2:$B$255, 2, FALSE) * VLOOKUP("Biannual", 'Maintenance Activities'!$A$2:$B$5, 2, FALSE) / 60</f>
        <v>0</v>
      </c>
      <c r="E118">
        <f>VLOOKUP(A118, 'Bike Stations'!$A$2:$B$255, 2, FALSE) * VLOOKUP("Annual", 'Maintenance Activities'!$A$2:$B$5, 2, FALSE) / 60</f>
        <v>0</v>
      </c>
      <c r="F118" s="5">
        <f t="shared" si="1"/>
        <v>0</v>
      </c>
    </row>
    <row r="119" spans="1:6" x14ac:dyDescent="0.35">
      <c r="A119" t="str">
        <f>'Bike Stations'!A119</f>
        <v>Mountcastle Drive North</v>
      </c>
      <c r="B119">
        <f>VLOOKUP(A119, 'Bike Stations'!$A$2:$B119, 2, FALSE) * VLOOKUP("Weekly", 'Maintenance Activities'!$A$2:$B$5, 2, FALSE) /60</f>
        <v>0.83333333333333337</v>
      </c>
      <c r="C119">
        <f>VLOOKUP(A119, 'Bike Stations'!$A$2:$B$255, 2, FALSE) * VLOOKUP("Monthly", 'Maintenance Activities'!$A$2:$B$5, 2, FALSE) /60</f>
        <v>2.5</v>
      </c>
      <c r="D119">
        <f>VLOOKUP(A119, 'Bike Stations'!$A$2:$B$255, 2, FALSE) * VLOOKUP("Biannual", 'Maintenance Activities'!$A$2:$B$5, 2, FALSE) / 60</f>
        <v>5</v>
      </c>
      <c r="E119">
        <f>VLOOKUP(A119, 'Bike Stations'!$A$2:$B$255, 2, FALSE) * VLOOKUP("Annual", 'Maintenance Activities'!$A$2:$B$5, 2, FALSE) / 60</f>
        <v>10</v>
      </c>
      <c r="F119" s="5">
        <f t="shared" si="1"/>
        <v>18.333333333333336</v>
      </c>
    </row>
    <row r="120" spans="1:6" x14ac:dyDescent="0.35">
      <c r="A120" t="str">
        <f>'Bike Stations'!A120</f>
        <v>Bonnyrigg Distributor</v>
      </c>
      <c r="B120">
        <f>VLOOKUP(A120, 'Bike Stations'!$A$2:$B120, 2, FALSE) * VLOOKUP("Weekly", 'Maintenance Activities'!$A$2:$B$5, 2, FALSE) /60</f>
        <v>0</v>
      </c>
      <c r="C120">
        <f>VLOOKUP(A120, 'Bike Stations'!$A$2:$B$255, 2, FALSE) * VLOOKUP("Monthly", 'Maintenance Activities'!$A$2:$B$5, 2, FALSE) /60</f>
        <v>0</v>
      </c>
      <c r="D120">
        <f>VLOOKUP(A120, 'Bike Stations'!$A$2:$B$255, 2, FALSE) * VLOOKUP("Biannual", 'Maintenance Activities'!$A$2:$B$5, 2, FALSE) / 60</f>
        <v>0</v>
      </c>
      <c r="E120">
        <f>VLOOKUP(A120, 'Bike Stations'!$A$2:$B$255, 2, FALSE) * VLOOKUP("Annual", 'Maintenance Activities'!$A$2:$B$5, 2, FALSE) / 60</f>
        <v>0</v>
      </c>
      <c r="F120" s="5">
        <f t="shared" si="1"/>
        <v>0</v>
      </c>
    </row>
    <row r="121" spans="1:6" x14ac:dyDescent="0.35">
      <c r="A121" t="str">
        <f>'Bike Stations'!A121</f>
        <v>Lockharton Gardens</v>
      </c>
      <c r="B121">
        <f>VLOOKUP(A121, 'Bike Stations'!$A$2:$B121, 2, FALSE) * VLOOKUP("Weekly", 'Maintenance Activities'!$A$2:$B$5, 2, FALSE) /60</f>
        <v>9.1666666666666661</v>
      </c>
      <c r="C121">
        <f>VLOOKUP(A121, 'Bike Stations'!$A$2:$B$255, 2, FALSE) * VLOOKUP("Monthly", 'Maintenance Activities'!$A$2:$B$5, 2, FALSE) /60</f>
        <v>27.5</v>
      </c>
      <c r="D121">
        <f>VLOOKUP(A121, 'Bike Stations'!$A$2:$B$255, 2, FALSE) * VLOOKUP("Biannual", 'Maintenance Activities'!$A$2:$B$5, 2, FALSE) / 60</f>
        <v>55</v>
      </c>
      <c r="E121">
        <f>VLOOKUP(A121, 'Bike Stations'!$A$2:$B$255, 2, FALSE) * VLOOKUP("Annual", 'Maintenance Activities'!$A$2:$B$5, 2, FALSE) / 60</f>
        <v>110</v>
      </c>
      <c r="F121" s="5">
        <f t="shared" si="1"/>
        <v>201.66666666666666</v>
      </c>
    </row>
    <row r="122" spans="1:6" x14ac:dyDescent="0.35">
      <c r="A122" t="str">
        <f>'Bike Stations'!A122</f>
        <v>Granton Road</v>
      </c>
      <c r="B122">
        <f>VLOOKUP(A122, 'Bike Stations'!$A$2:$B122, 2, FALSE) * VLOOKUP("Weekly", 'Maintenance Activities'!$A$2:$B$5, 2, FALSE) /60</f>
        <v>0.83333333333333337</v>
      </c>
      <c r="C122">
        <f>VLOOKUP(A122, 'Bike Stations'!$A$2:$B$255, 2, FALSE) * VLOOKUP("Monthly", 'Maintenance Activities'!$A$2:$B$5, 2, FALSE) /60</f>
        <v>2.5</v>
      </c>
      <c r="D122">
        <f>VLOOKUP(A122, 'Bike Stations'!$A$2:$B$255, 2, FALSE) * VLOOKUP("Biannual", 'Maintenance Activities'!$A$2:$B$5, 2, FALSE) / 60</f>
        <v>5</v>
      </c>
      <c r="E122">
        <f>VLOOKUP(A122, 'Bike Stations'!$A$2:$B$255, 2, FALSE) * VLOOKUP("Annual", 'Maintenance Activities'!$A$2:$B$5, 2, FALSE) / 60</f>
        <v>10</v>
      </c>
      <c r="F122" s="5">
        <f t="shared" si="1"/>
        <v>18.333333333333336</v>
      </c>
    </row>
    <row r="123" spans="1:6" x14ac:dyDescent="0.35">
      <c r="A123" t="str">
        <f>'Bike Stations'!A123</f>
        <v>Buckstone Crescent</v>
      </c>
      <c r="B123">
        <f>VLOOKUP(A123, 'Bike Stations'!$A$2:$B123, 2, FALSE) * VLOOKUP("Weekly", 'Maintenance Activities'!$A$2:$B$5, 2, FALSE) /60</f>
        <v>0</v>
      </c>
      <c r="C123">
        <f>VLOOKUP(A123, 'Bike Stations'!$A$2:$B$255, 2, FALSE) * VLOOKUP("Monthly", 'Maintenance Activities'!$A$2:$B$5, 2, FALSE) /60</f>
        <v>0</v>
      </c>
      <c r="D123">
        <f>VLOOKUP(A123, 'Bike Stations'!$A$2:$B$255, 2, FALSE) * VLOOKUP("Biannual", 'Maintenance Activities'!$A$2:$B$5, 2, FALSE) / 60</f>
        <v>0</v>
      </c>
      <c r="E123">
        <f>VLOOKUP(A123, 'Bike Stations'!$A$2:$B$255, 2, FALSE) * VLOOKUP("Annual", 'Maintenance Activities'!$A$2:$B$5, 2, FALSE) / 60</f>
        <v>0</v>
      </c>
      <c r="F123" s="5">
        <f t="shared" si="1"/>
        <v>0</v>
      </c>
    </row>
    <row r="124" spans="1:6" x14ac:dyDescent="0.35">
      <c r="A124" t="str">
        <f>'Bike Stations'!A124</f>
        <v>Millerhill Carbon Tower</v>
      </c>
      <c r="B124">
        <f>VLOOKUP(A124, 'Bike Stations'!$A$2:$B124, 2, FALSE) * VLOOKUP("Weekly", 'Maintenance Activities'!$A$2:$B$5, 2, FALSE) /60</f>
        <v>0</v>
      </c>
      <c r="C124">
        <f>VLOOKUP(A124, 'Bike Stations'!$A$2:$B$255, 2, FALSE) * VLOOKUP("Monthly", 'Maintenance Activities'!$A$2:$B$5, 2, FALSE) /60</f>
        <v>0</v>
      </c>
      <c r="D124">
        <f>VLOOKUP(A124, 'Bike Stations'!$A$2:$B$255, 2, FALSE) * VLOOKUP("Biannual", 'Maintenance Activities'!$A$2:$B$5, 2, FALSE) / 60</f>
        <v>0</v>
      </c>
      <c r="E124">
        <f>VLOOKUP(A124, 'Bike Stations'!$A$2:$B$255, 2, FALSE) * VLOOKUP("Annual", 'Maintenance Activities'!$A$2:$B$5, 2, FALSE) / 60</f>
        <v>0</v>
      </c>
      <c r="F124" s="5">
        <f t="shared" si="1"/>
        <v>0</v>
      </c>
    </row>
    <row r="125" spans="1:6" x14ac:dyDescent="0.35">
      <c r="A125" t="str">
        <f>'Bike Stations'!A125</f>
        <v>Hardengreen Business Park</v>
      </c>
      <c r="B125">
        <f>VLOOKUP(A125, 'Bike Stations'!$A$2:$B125, 2, FALSE) * VLOOKUP("Weekly", 'Maintenance Activities'!$A$2:$B$5, 2, FALSE) /60</f>
        <v>0</v>
      </c>
      <c r="C125">
        <f>VLOOKUP(A125, 'Bike Stations'!$A$2:$B$255, 2, FALSE) * VLOOKUP("Monthly", 'Maintenance Activities'!$A$2:$B$5, 2, FALSE) /60</f>
        <v>0</v>
      </c>
      <c r="D125">
        <f>VLOOKUP(A125, 'Bike Stations'!$A$2:$B$255, 2, FALSE) * VLOOKUP("Biannual", 'Maintenance Activities'!$A$2:$B$5, 2, FALSE) / 60</f>
        <v>0</v>
      </c>
      <c r="E125">
        <f>VLOOKUP(A125, 'Bike Stations'!$A$2:$B$255, 2, FALSE) * VLOOKUP("Annual", 'Maintenance Activities'!$A$2:$B$5, 2, FALSE) / 60</f>
        <v>0</v>
      </c>
      <c r="F125" s="5">
        <f t="shared" si="1"/>
        <v>0</v>
      </c>
    </row>
    <row r="126" spans="1:6" x14ac:dyDescent="0.35">
      <c r="A126" t="str">
        <f>'Bike Stations'!A126</f>
        <v>Portobello High Street</v>
      </c>
      <c r="B126">
        <f>VLOOKUP(A126, 'Bike Stations'!$A$2:$B126, 2, FALSE) * VLOOKUP("Weekly", 'Maintenance Activities'!$A$2:$B$5, 2, FALSE) /60</f>
        <v>0.83333333333333337</v>
      </c>
      <c r="C126">
        <f>VLOOKUP(A126, 'Bike Stations'!$A$2:$B$255, 2, FALSE) * VLOOKUP("Monthly", 'Maintenance Activities'!$A$2:$B$5, 2, FALSE) /60</f>
        <v>2.5</v>
      </c>
      <c r="D126">
        <f>VLOOKUP(A126, 'Bike Stations'!$A$2:$B$255, 2, FALSE) * VLOOKUP("Biannual", 'Maintenance Activities'!$A$2:$B$5, 2, FALSE) / 60</f>
        <v>5</v>
      </c>
      <c r="E126">
        <f>VLOOKUP(A126, 'Bike Stations'!$A$2:$B$255, 2, FALSE) * VLOOKUP("Annual", 'Maintenance Activities'!$A$2:$B$5, 2, FALSE) / 60</f>
        <v>10</v>
      </c>
      <c r="F126" s="5">
        <f t="shared" si="1"/>
        <v>18.333333333333336</v>
      </c>
    </row>
    <row r="127" spans="1:6" x14ac:dyDescent="0.35">
      <c r="A127" t="str">
        <f>'Bike Stations'!A127</f>
        <v>Shandon Road</v>
      </c>
      <c r="B127">
        <f>VLOOKUP(A127, 'Bike Stations'!$A$2:$B127, 2, FALSE) * VLOOKUP("Weekly", 'Maintenance Activities'!$A$2:$B$5, 2, FALSE) /60</f>
        <v>0</v>
      </c>
      <c r="C127">
        <f>VLOOKUP(A127, 'Bike Stations'!$A$2:$B$255, 2, FALSE) * VLOOKUP("Monthly", 'Maintenance Activities'!$A$2:$B$5, 2, FALSE) /60</f>
        <v>0</v>
      </c>
      <c r="D127">
        <f>VLOOKUP(A127, 'Bike Stations'!$A$2:$B$255, 2, FALSE) * VLOOKUP("Biannual", 'Maintenance Activities'!$A$2:$B$5, 2, FALSE) / 60</f>
        <v>0</v>
      </c>
      <c r="E127">
        <f>VLOOKUP(A127, 'Bike Stations'!$A$2:$B$255, 2, FALSE) * VLOOKUP("Annual", 'Maintenance Activities'!$A$2:$B$5, 2, FALSE) / 60</f>
        <v>0</v>
      </c>
      <c r="F127" s="5">
        <f t="shared" si="1"/>
        <v>0</v>
      </c>
    </row>
    <row r="128" spans="1:6" x14ac:dyDescent="0.35">
      <c r="A128" t="str">
        <f>'Bike Stations'!A128</f>
        <v>Bilston Primary School</v>
      </c>
      <c r="B128">
        <f>VLOOKUP(A128, 'Bike Stations'!$A$2:$B128, 2, FALSE) * VLOOKUP("Weekly", 'Maintenance Activities'!$A$2:$B$5, 2, FALSE) /60</f>
        <v>0</v>
      </c>
      <c r="C128">
        <f>VLOOKUP(A128, 'Bike Stations'!$A$2:$B$255, 2, FALSE) * VLOOKUP("Monthly", 'Maintenance Activities'!$A$2:$B$5, 2, FALSE) /60</f>
        <v>0</v>
      </c>
      <c r="D128">
        <f>VLOOKUP(A128, 'Bike Stations'!$A$2:$B$255, 2, FALSE) * VLOOKUP("Biannual", 'Maintenance Activities'!$A$2:$B$5, 2, FALSE) / 60</f>
        <v>0</v>
      </c>
      <c r="E128">
        <f>VLOOKUP(A128, 'Bike Stations'!$A$2:$B$255, 2, FALSE) * VLOOKUP("Annual", 'Maintenance Activities'!$A$2:$B$5, 2, FALSE) / 60</f>
        <v>0</v>
      </c>
      <c r="F128" s="5">
        <f t="shared" si="1"/>
        <v>0</v>
      </c>
    </row>
    <row r="129" spans="1:6" x14ac:dyDescent="0.35">
      <c r="A129" t="str">
        <f>'Bike Stations'!A129</f>
        <v>Ulster Grove</v>
      </c>
      <c r="B129">
        <f>VLOOKUP(A129, 'Bike Stations'!$A$2:$B129, 2, FALSE) * VLOOKUP("Weekly", 'Maintenance Activities'!$A$2:$B$5, 2, FALSE) /60</f>
        <v>0.83333333333333337</v>
      </c>
      <c r="C129">
        <f>VLOOKUP(A129, 'Bike Stations'!$A$2:$B$255, 2, FALSE) * VLOOKUP("Monthly", 'Maintenance Activities'!$A$2:$B$5, 2, FALSE) /60</f>
        <v>2.5</v>
      </c>
      <c r="D129">
        <f>VLOOKUP(A129, 'Bike Stations'!$A$2:$B$255, 2, FALSE) * VLOOKUP("Biannual", 'Maintenance Activities'!$A$2:$B$5, 2, FALSE) / 60</f>
        <v>5</v>
      </c>
      <c r="E129">
        <f>VLOOKUP(A129, 'Bike Stations'!$A$2:$B$255, 2, FALSE) * VLOOKUP("Annual", 'Maintenance Activities'!$A$2:$B$5, 2, FALSE) / 60</f>
        <v>10</v>
      </c>
      <c r="F129" s="5">
        <f t="shared" si="1"/>
        <v>18.333333333333336</v>
      </c>
    </row>
    <row r="130" spans="1:6" x14ac:dyDescent="0.35">
      <c r="A130" t="str">
        <f>'Bike Stations'!A130</f>
        <v>Craighleith Primary</v>
      </c>
      <c r="B130">
        <f>VLOOKUP(A130, 'Bike Stations'!$A$2:$B130, 2, FALSE) * VLOOKUP("Weekly", 'Maintenance Activities'!$A$2:$B$5, 2, FALSE) /60</f>
        <v>0.83333333333333337</v>
      </c>
      <c r="C130">
        <f>VLOOKUP(A130, 'Bike Stations'!$A$2:$B$255, 2, FALSE) * VLOOKUP("Monthly", 'Maintenance Activities'!$A$2:$B$5, 2, FALSE) /60</f>
        <v>2.5</v>
      </c>
      <c r="D130">
        <f>VLOOKUP(A130, 'Bike Stations'!$A$2:$B$255, 2, FALSE) * VLOOKUP("Biannual", 'Maintenance Activities'!$A$2:$B$5, 2, FALSE) / 60</f>
        <v>5</v>
      </c>
      <c r="E130">
        <f>VLOOKUP(A130, 'Bike Stations'!$A$2:$B$255, 2, FALSE) * VLOOKUP("Annual", 'Maintenance Activities'!$A$2:$B$5, 2, FALSE) / 60</f>
        <v>10</v>
      </c>
      <c r="F130" s="5">
        <f t="shared" si="1"/>
        <v>18.333333333333336</v>
      </c>
    </row>
    <row r="131" spans="1:6" x14ac:dyDescent="0.35">
      <c r="A131" t="str">
        <f>'Bike Stations'!A131</f>
        <v>Brunswick Place</v>
      </c>
      <c r="B131">
        <f>VLOOKUP(A131, 'Bike Stations'!$A$2:$B131, 2, FALSE) * VLOOKUP("Weekly", 'Maintenance Activities'!$A$2:$B$5, 2, FALSE) /60</f>
        <v>9.1666666666666661</v>
      </c>
      <c r="C131">
        <f>VLOOKUP(A131, 'Bike Stations'!$A$2:$B$255, 2, FALSE) * VLOOKUP("Monthly", 'Maintenance Activities'!$A$2:$B$5, 2, FALSE) /60</f>
        <v>27.5</v>
      </c>
      <c r="D131">
        <f>VLOOKUP(A131, 'Bike Stations'!$A$2:$B$255, 2, FALSE) * VLOOKUP("Biannual", 'Maintenance Activities'!$A$2:$B$5, 2, FALSE) / 60</f>
        <v>55</v>
      </c>
      <c r="E131">
        <f>VLOOKUP(A131, 'Bike Stations'!$A$2:$B$255, 2, FALSE) * VLOOKUP("Annual", 'Maintenance Activities'!$A$2:$B$5, 2, FALSE) / 60</f>
        <v>110</v>
      </c>
      <c r="F131" s="5">
        <f t="shared" si="1"/>
        <v>201.66666666666666</v>
      </c>
    </row>
    <row r="132" spans="1:6" x14ac:dyDescent="0.35">
      <c r="A132" t="str">
        <f>'Bike Stations'!A132</f>
        <v>West Coates</v>
      </c>
      <c r="B132">
        <f>VLOOKUP(A132, 'Bike Stations'!$A$2:$B132, 2, FALSE) * VLOOKUP("Weekly", 'Maintenance Activities'!$A$2:$B$5, 2, FALSE) /60</f>
        <v>0.83333333333333337</v>
      </c>
      <c r="C132">
        <f>VLOOKUP(A132, 'Bike Stations'!$A$2:$B$255, 2, FALSE) * VLOOKUP("Monthly", 'Maintenance Activities'!$A$2:$B$5, 2, FALSE) /60</f>
        <v>2.5</v>
      </c>
      <c r="D132">
        <f>VLOOKUP(A132, 'Bike Stations'!$A$2:$B$255, 2, FALSE) * VLOOKUP("Biannual", 'Maintenance Activities'!$A$2:$B$5, 2, FALSE) / 60</f>
        <v>5</v>
      </c>
      <c r="E132">
        <f>VLOOKUP(A132, 'Bike Stations'!$A$2:$B$255, 2, FALSE) * VLOOKUP("Annual", 'Maintenance Activities'!$A$2:$B$5, 2, FALSE) / 60</f>
        <v>10</v>
      </c>
      <c r="F132" s="5">
        <f t="shared" ref="F132:F195" si="2">B132 + C132 + D132 + E132</f>
        <v>18.333333333333336</v>
      </c>
    </row>
    <row r="133" spans="1:6" x14ac:dyDescent="0.35">
      <c r="A133" t="str">
        <f>'Bike Stations'!A133</f>
        <v>London Road</v>
      </c>
      <c r="B133">
        <f>VLOOKUP(A133, 'Bike Stations'!$A$2:$B133, 2, FALSE) * VLOOKUP("Weekly", 'Maintenance Activities'!$A$2:$B$5, 2, FALSE) /60</f>
        <v>9.1666666666666661</v>
      </c>
      <c r="C133">
        <f>VLOOKUP(A133, 'Bike Stations'!$A$2:$B$255, 2, FALSE) * VLOOKUP("Monthly", 'Maintenance Activities'!$A$2:$B$5, 2, FALSE) /60</f>
        <v>27.5</v>
      </c>
      <c r="D133">
        <f>VLOOKUP(A133, 'Bike Stations'!$A$2:$B$255, 2, FALSE) * VLOOKUP("Biannual", 'Maintenance Activities'!$A$2:$B$5, 2, FALSE) / 60</f>
        <v>55</v>
      </c>
      <c r="E133">
        <f>VLOOKUP(A133, 'Bike Stations'!$A$2:$B$255, 2, FALSE) * VLOOKUP("Annual", 'Maintenance Activities'!$A$2:$B$5, 2, FALSE) / 60</f>
        <v>110</v>
      </c>
      <c r="F133" s="5">
        <f t="shared" si="2"/>
        <v>201.66666666666666</v>
      </c>
    </row>
    <row r="134" spans="1:6" x14ac:dyDescent="0.35">
      <c r="A134" t="str">
        <f>'Bike Stations'!A134</f>
        <v>Crewe Medical Centre</v>
      </c>
      <c r="B134">
        <f>VLOOKUP(A134, 'Bike Stations'!$A$2:$B134, 2, FALSE) * VLOOKUP("Weekly", 'Maintenance Activities'!$A$2:$B$5, 2, FALSE) /60</f>
        <v>0</v>
      </c>
      <c r="C134">
        <f>VLOOKUP(A134, 'Bike Stations'!$A$2:$B$255, 2, FALSE) * VLOOKUP("Monthly", 'Maintenance Activities'!$A$2:$B$5, 2, FALSE) /60</f>
        <v>0</v>
      </c>
      <c r="D134">
        <f>VLOOKUP(A134, 'Bike Stations'!$A$2:$B$255, 2, FALSE) * VLOOKUP("Biannual", 'Maintenance Activities'!$A$2:$B$5, 2, FALSE) / 60</f>
        <v>0</v>
      </c>
      <c r="E134">
        <f>VLOOKUP(A134, 'Bike Stations'!$A$2:$B$255, 2, FALSE) * VLOOKUP("Annual", 'Maintenance Activities'!$A$2:$B$5, 2, FALSE) / 60</f>
        <v>0</v>
      </c>
      <c r="F134" s="5">
        <f t="shared" si="2"/>
        <v>0</v>
      </c>
    </row>
    <row r="135" spans="1:6" x14ac:dyDescent="0.35">
      <c r="A135" t="str">
        <f>'Bike Stations'!A135</f>
        <v>Millhill</v>
      </c>
      <c r="B135">
        <f>VLOOKUP(A135, 'Bike Stations'!$A$2:$B135, 2, FALSE) * VLOOKUP("Weekly", 'Maintenance Activities'!$A$2:$B$5, 2, FALSE) /60</f>
        <v>0</v>
      </c>
      <c r="C135">
        <f>VLOOKUP(A135, 'Bike Stations'!$A$2:$B$255, 2, FALSE) * VLOOKUP("Monthly", 'Maintenance Activities'!$A$2:$B$5, 2, FALSE) /60</f>
        <v>0</v>
      </c>
      <c r="D135">
        <f>VLOOKUP(A135, 'Bike Stations'!$A$2:$B$255, 2, FALSE) * VLOOKUP("Biannual", 'Maintenance Activities'!$A$2:$B$5, 2, FALSE) / 60</f>
        <v>0</v>
      </c>
      <c r="E135">
        <f>VLOOKUP(A135, 'Bike Stations'!$A$2:$B$255, 2, FALSE) * VLOOKUP("Annual", 'Maintenance Activities'!$A$2:$B$5, 2, FALSE) / 60</f>
        <v>0</v>
      </c>
      <c r="F135" s="5">
        <f t="shared" si="2"/>
        <v>0</v>
      </c>
    </row>
    <row r="136" spans="1:6" x14ac:dyDescent="0.35">
      <c r="A136" t="str">
        <f>'Bike Stations'!A136</f>
        <v>Gamekeeper's Road</v>
      </c>
      <c r="B136">
        <f>VLOOKUP(A136, 'Bike Stations'!$A$2:$B136, 2, FALSE) * VLOOKUP("Weekly", 'Maintenance Activities'!$A$2:$B$5, 2, FALSE) /60</f>
        <v>0.83333333333333337</v>
      </c>
      <c r="C136">
        <f>VLOOKUP(A136, 'Bike Stations'!$A$2:$B$255, 2, FALSE) * VLOOKUP("Monthly", 'Maintenance Activities'!$A$2:$B$5, 2, FALSE) /60</f>
        <v>2.5</v>
      </c>
      <c r="D136">
        <f>VLOOKUP(A136, 'Bike Stations'!$A$2:$B$255, 2, FALSE) * VLOOKUP("Biannual", 'Maintenance Activities'!$A$2:$B$5, 2, FALSE) / 60</f>
        <v>5</v>
      </c>
      <c r="E136">
        <f>VLOOKUP(A136, 'Bike Stations'!$A$2:$B$255, 2, FALSE) * VLOOKUP("Annual", 'Maintenance Activities'!$A$2:$B$5, 2, FALSE) / 60</f>
        <v>10</v>
      </c>
      <c r="F136" s="5">
        <f t="shared" si="2"/>
        <v>18.333333333333336</v>
      </c>
    </row>
    <row r="137" spans="1:6" x14ac:dyDescent="0.35">
      <c r="A137" t="str">
        <f>'Bike Stations'!A137</f>
        <v>Kingsknowe Park</v>
      </c>
      <c r="B137">
        <f>VLOOKUP(A137, 'Bike Stations'!$A$2:$B137, 2, FALSE) * VLOOKUP("Weekly", 'Maintenance Activities'!$A$2:$B$5, 2, FALSE) /60</f>
        <v>0.83333333333333337</v>
      </c>
      <c r="C137">
        <f>VLOOKUP(A137, 'Bike Stations'!$A$2:$B$255, 2, FALSE) * VLOOKUP("Monthly", 'Maintenance Activities'!$A$2:$B$5, 2, FALSE) /60</f>
        <v>2.5</v>
      </c>
      <c r="D137">
        <f>VLOOKUP(A137, 'Bike Stations'!$A$2:$B$255, 2, FALSE) * VLOOKUP("Biannual", 'Maintenance Activities'!$A$2:$B$5, 2, FALSE) / 60</f>
        <v>5</v>
      </c>
      <c r="E137">
        <f>VLOOKUP(A137, 'Bike Stations'!$A$2:$B$255, 2, FALSE) * VLOOKUP("Annual", 'Maintenance Activities'!$A$2:$B$5, 2, FALSE) / 60</f>
        <v>10</v>
      </c>
      <c r="F137" s="5">
        <f t="shared" si="2"/>
        <v>18.333333333333336</v>
      </c>
    </row>
    <row r="138" spans="1:6" x14ac:dyDescent="0.35">
      <c r="A138" t="str">
        <f>'Bike Stations'!A138</f>
        <v>Liberton Brae</v>
      </c>
      <c r="B138">
        <f>VLOOKUP(A138, 'Bike Stations'!$A$2:$B138, 2, FALSE) * VLOOKUP("Weekly", 'Maintenance Activities'!$A$2:$B$5, 2, FALSE) /60</f>
        <v>0.83333333333333337</v>
      </c>
      <c r="C138">
        <f>VLOOKUP(A138, 'Bike Stations'!$A$2:$B$255, 2, FALSE) * VLOOKUP("Monthly", 'Maintenance Activities'!$A$2:$B$5, 2, FALSE) /60</f>
        <v>2.5</v>
      </c>
      <c r="D138">
        <f>VLOOKUP(A138, 'Bike Stations'!$A$2:$B$255, 2, FALSE) * VLOOKUP("Biannual", 'Maintenance Activities'!$A$2:$B$5, 2, FALSE) / 60</f>
        <v>5</v>
      </c>
      <c r="E138">
        <f>VLOOKUP(A138, 'Bike Stations'!$A$2:$B$255, 2, FALSE) * VLOOKUP("Annual", 'Maintenance Activities'!$A$2:$B$5, 2, FALSE) / 60</f>
        <v>10</v>
      </c>
      <c r="F138" s="5">
        <f t="shared" si="2"/>
        <v>18.333333333333336</v>
      </c>
    </row>
    <row r="139" spans="1:6" x14ac:dyDescent="0.35">
      <c r="A139" t="str">
        <f>'Bike Stations'!A139</f>
        <v>Relugas Road</v>
      </c>
      <c r="B139">
        <f>VLOOKUP(A139, 'Bike Stations'!$A$2:$B139, 2, FALSE) * VLOOKUP("Weekly", 'Maintenance Activities'!$A$2:$B$5, 2, FALSE) /60</f>
        <v>3.3333333333333242</v>
      </c>
      <c r="C139">
        <f>VLOOKUP(A139, 'Bike Stations'!$A$2:$B$255, 2, FALSE) * VLOOKUP("Monthly", 'Maintenance Activities'!$A$2:$B$5, 2, FALSE) /60</f>
        <v>9.9999999999999734</v>
      </c>
      <c r="D139">
        <f>VLOOKUP(A139, 'Bike Stations'!$A$2:$B$255, 2, FALSE) * VLOOKUP("Biannual", 'Maintenance Activities'!$A$2:$B$5, 2, FALSE) / 60</f>
        <v>19.999999999999947</v>
      </c>
      <c r="E139">
        <f>VLOOKUP(A139, 'Bike Stations'!$A$2:$B$255, 2, FALSE) * VLOOKUP("Annual", 'Maintenance Activities'!$A$2:$B$5, 2, FALSE) / 60</f>
        <v>39.999999999999893</v>
      </c>
      <c r="F139" s="5">
        <f t="shared" si="2"/>
        <v>73.333333333333144</v>
      </c>
    </row>
    <row r="140" spans="1:6" x14ac:dyDescent="0.35">
      <c r="A140" t="str">
        <f>'Bike Stations'!A140</f>
        <v>Broomhouse Road</v>
      </c>
      <c r="B140">
        <f>VLOOKUP(A140, 'Bike Stations'!$A$2:$B140, 2, FALSE) * VLOOKUP("Weekly", 'Maintenance Activities'!$A$2:$B$5, 2, FALSE) /60</f>
        <v>0</v>
      </c>
      <c r="C140">
        <f>VLOOKUP(A140, 'Bike Stations'!$A$2:$B$255, 2, FALSE) * VLOOKUP("Monthly", 'Maintenance Activities'!$A$2:$B$5, 2, FALSE) /60</f>
        <v>0</v>
      </c>
      <c r="D140">
        <f>VLOOKUP(A140, 'Bike Stations'!$A$2:$B$255, 2, FALSE) * VLOOKUP("Biannual", 'Maintenance Activities'!$A$2:$B$5, 2, FALSE) / 60</f>
        <v>0</v>
      </c>
      <c r="E140">
        <f>VLOOKUP(A140, 'Bike Stations'!$A$2:$B$255, 2, FALSE) * VLOOKUP("Annual", 'Maintenance Activities'!$A$2:$B$5, 2, FALSE) / 60</f>
        <v>0</v>
      </c>
      <c r="F140" s="5">
        <f t="shared" si="2"/>
        <v>0</v>
      </c>
    </row>
    <row r="141" spans="1:6" x14ac:dyDescent="0.35">
      <c r="A141" t="str">
        <f>'Bike Stations'!A141</f>
        <v>Inch Nursery</v>
      </c>
      <c r="B141">
        <f>VLOOKUP(A141, 'Bike Stations'!$A$2:$B141, 2, FALSE) * VLOOKUP("Weekly", 'Maintenance Activities'!$A$2:$B$5, 2, FALSE) /60</f>
        <v>0</v>
      </c>
      <c r="C141">
        <f>VLOOKUP(A141, 'Bike Stations'!$A$2:$B$255, 2, FALSE) * VLOOKUP("Monthly", 'Maintenance Activities'!$A$2:$B$5, 2, FALSE) /60</f>
        <v>0</v>
      </c>
      <c r="D141">
        <f>VLOOKUP(A141, 'Bike Stations'!$A$2:$B$255, 2, FALSE) * VLOOKUP("Biannual", 'Maintenance Activities'!$A$2:$B$5, 2, FALSE) / 60</f>
        <v>0</v>
      </c>
      <c r="E141">
        <f>VLOOKUP(A141, 'Bike Stations'!$A$2:$B$255, 2, FALSE) * VLOOKUP("Annual", 'Maintenance Activities'!$A$2:$B$5, 2, FALSE) / 60</f>
        <v>0</v>
      </c>
      <c r="F141" s="5">
        <f t="shared" si="2"/>
        <v>0</v>
      </c>
    </row>
    <row r="142" spans="1:6" x14ac:dyDescent="0.35">
      <c r="A142" t="str">
        <f>'Bike Stations'!A142</f>
        <v>Lothian Road</v>
      </c>
      <c r="B142">
        <f>VLOOKUP(A142, 'Bike Stations'!$A$2:$B142, 2, FALSE) * VLOOKUP("Weekly", 'Maintenance Activities'!$A$2:$B$5, 2, FALSE) /60</f>
        <v>9.1666666666666661</v>
      </c>
      <c r="C142">
        <f>VLOOKUP(A142, 'Bike Stations'!$A$2:$B$255, 2, FALSE) * VLOOKUP("Monthly", 'Maintenance Activities'!$A$2:$B$5, 2, FALSE) /60</f>
        <v>27.5</v>
      </c>
      <c r="D142">
        <f>VLOOKUP(A142, 'Bike Stations'!$A$2:$B$255, 2, FALSE) * VLOOKUP("Biannual", 'Maintenance Activities'!$A$2:$B$5, 2, FALSE) / 60</f>
        <v>55</v>
      </c>
      <c r="E142">
        <f>VLOOKUP(A142, 'Bike Stations'!$A$2:$B$255, 2, FALSE) * VLOOKUP("Annual", 'Maintenance Activities'!$A$2:$B$5, 2, FALSE) / 60</f>
        <v>110</v>
      </c>
      <c r="F142" s="5">
        <f t="shared" si="2"/>
        <v>201.66666666666666</v>
      </c>
    </row>
    <row r="143" spans="1:6" x14ac:dyDescent="0.35">
      <c r="A143" t="str">
        <f>'Bike Stations'!A143</f>
        <v>Ferry Road 2</v>
      </c>
      <c r="B143">
        <f>VLOOKUP(A143, 'Bike Stations'!$A$2:$B143, 2, FALSE) * VLOOKUP("Weekly", 'Maintenance Activities'!$A$2:$B$5, 2, FALSE) /60</f>
        <v>9.1666666666666661</v>
      </c>
      <c r="C143">
        <f>VLOOKUP(A143, 'Bike Stations'!$A$2:$B$255, 2, FALSE) * VLOOKUP("Monthly", 'Maintenance Activities'!$A$2:$B$5, 2, FALSE) /60</f>
        <v>27.5</v>
      </c>
      <c r="D143">
        <f>VLOOKUP(A143, 'Bike Stations'!$A$2:$B$255, 2, FALSE) * VLOOKUP("Biannual", 'Maintenance Activities'!$A$2:$B$5, 2, FALSE) / 60</f>
        <v>55</v>
      </c>
      <c r="E143">
        <f>VLOOKUP(A143, 'Bike Stations'!$A$2:$B$255, 2, FALSE) * VLOOKUP("Annual", 'Maintenance Activities'!$A$2:$B$5, 2, FALSE) / 60</f>
        <v>110</v>
      </c>
      <c r="F143" s="5">
        <f t="shared" si="2"/>
        <v>201.66666666666666</v>
      </c>
    </row>
    <row r="144" spans="1:6" x14ac:dyDescent="0.35">
      <c r="A144" t="str">
        <f>'Bike Stations'!A144</f>
        <v>Craigentinny Bowling Club</v>
      </c>
      <c r="B144">
        <f>VLOOKUP(A144, 'Bike Stations'!$A$2:$B144, 2, FALSE) * VLOOKUP("Weekly", 'Maintenance Activities'!$A$2:$B$5, 2, FALSE) /60</f>
        <v>0.83333333333333337</v>
      </c>
      <c r="C144">
        <f>VLOOKUP(A144, 'Bike Stations'!$A$2:$B$255, 2, FALSE) * VLOOKUP("Monthly", 'Maintenance Activities'!$A$2:$B$5, 2, FALSE) /60</f>
        <v>2.5</v>
      </c>
      <c r="D144">
        <f>VLOOKUP(A144, 'Bike Stations'!$A$2:$B$255, 2, FALSE) * VLOOKUP("Biannual", 'Maintenance Activities'!$A$2:$B$5, 2, FALSE) / 60</f>
        <v>5</v>
      </c>
      <c r="E144">
        <f>VLOOKUP(A144, 'Bike Stations'!$A$2:$B$255, 2, FALSE) * VLOOKUP("Annual", 'Maintenance Activities'!$A$2:$B$5, 2, FALSE) / 60</f>
        <v>10</v>
      </c>
      <c r="F144" s="5">
        <f t="shared" si="2"/>
        <v>18.333333333333336</v>
      </c>
    </row>
    <row r="145" spans="1:6" x14ac:dyDescent="0.35">
      <c r="A145" t="str">
        <f>'Bike Stations'!A145</f>
        <v>Whitehall Farm Road</v>
      </c>
      <c r="B145">
        <f>VLOOKUP(A145, 'Bike Stations'!$A$2:$B145, 2, FALSE) * VLOOKUP("Weekly", 'Maintenance Activities'!$A$2:$B$5, 2, FALSE) /60</f>
        <v>0</v>
      </c>
      <c r="C145">
        <f>VLOOKUP(A145, 'Bike Stations'!$A$2:$B$255, 2, FALSE) * VLOOKUP("Monthly", 'Maintenance Activities'!$A$2:$B$5, 2, FALSE) /60</f>
        <v>0</v>
      </c>
      <c r="D145">
        <f>VLOOKUP(A145, 'Bike Stations'!$A$2:$B$255, 2, FALSE) * VLOOKUP("Biannual", 'Maintenance Activities'!$A$2:$B$5, 2, FALSE) / 60</f>
        <v>0</v>
      </c>
      <c r="E145">
        <f>VLOOKUP(A145, 'Bike Stations'!$A$2:$B$255, 2, FALSE) * VLOOKUP("Annual", 'Maintenance Activities'!$A$2:$B$5, 2, FALSE) / 60</f>
        <v>0</v>
      </c>
      <c r="F145" s="5">
        <f t="shared" si="2"/>
        <v>0</v>
      </c>
    </row>
    <row r="146" spans="1:6" x14ac:dyDescent="0.35">
      <c r="A146" t="str">
        <f>'Bike Stations'!A146</f>
        <v>Hope Terrace</v>
      </c>
      <c r="B146">
        <f>VLOOKUP(A146, 'Bike Stations'!$A$2:$B146, 2, FALSE) * VLOOKUP("Weekly", 'Maintenance Activities'!$A$2:$B$5, 2, FALSE) /60</f>
        <v>0.83333333333333337</v>
      </c>
      <c r="C146">
        <f>VLOOKUP(A146, 'Bike Stations'!$A$2:$B$255, 2, FALSE) * VLOOKUP("Monthly", 'Maintenance Activities'!$A$2:$B$5, 2, FALSE) /60</f>
        <v>2.5</v>
      </c>
      <c r="D146">
        <f>VLOOKUP(A146, 'Bike Stations'!$A$2:$B$255, 2, FALSE) * VLOOKUP("Biannual", 'Maintenance Activities'!$A$2:$B$5, 2, FALSE) / 60</f>
        <v>5</v>
      </c>
      <c r="E146">
        <f>VLOOKUP(A146, 'Bike Stations'!$A$2:$B$255, 2, FALSE) * VLOOKUP("Annual", 'Maintenance Activities'!$A$2:$B$5, 2, FALSE) / 60</f>
        <v>10</v>
      </c>
      <c r="F146" s="5">
        <f t="shared" si="2"/>
        <v>18.333333333333336</v>
      </c>
    </row>
    <row r="147" spans="1:6" x14ac:dyDescent="0.35">
      <c r="A147" t="str">
        <f>'Bike Stations'!A147</f>
        <v>Newmills Road</v>
      </c>
      <c r="B147">
        <f>VLOOKUP(A147, 'Bike Stations'!$A$2:$B147, 2, FALSE) * VLOOKUP("Weekly", 'Maintenance Activities'!$A$2:$B$5, 2, FALSE) /60</f>
        <v>0</v>
      </c>
      <c r="C147">
        <f>VLOOKUP(A147, 'Bike Stations'!$A$2:$B$255, 2, FALSE) * VLOOKUP("Monthly", 'Maintenance Activities'!$A$2:$B$5, 2, FALSE) /60</f>
        <v>0</v>
      </c>
      <c r="D147">
        <f>VLOOKUP(A147, 'Bike Stations'!$A$2:$B$255, 2, FALSE) * VLOOKUP("Biannual", 'Maintenance Activities'!$A$2:$B$5, 2, FALSE) / 60</f>
        <v>0</v>
      </c>
      <c r="E147">
        <f>VLOOKUP(A147, 'Bike Stations'!$A$2:$B$255, 2, FALSE) * VLOOKUP("Annual", 'Maintenance Activities'!$A$2:$B$5, 2, FALSE) / 60</f>
        <v>0</v>
      </c>
      <c r="F147" s="5">
        <f t="shared" si="2"/>
        <v>0</v>
      </c>
    </row>
    <row r="148" spans="1:6" x14ac:dyDescent="0.35">
      <c r="A148" t="str">
        <f>'Bike Stations'!A148</f>
        <v>Station Road</v>
      </c>
      <c r="B148">
        <f>VLOOKUP(A148, 'Bike Stations'!$A$2:$B148, 2, FALSE) * VLOOKUP("Weekly", 'Maintenance Activities'!$A$2:$B$5, 2, FALSE) /60</f>
        <v>0.83333333333333337</v>
      </c>
      <c r="C148">
        <f>VLOOKUP(A148, 'Bike Stations'!$A$2:$B$255, 2, FALSE) * VLOOKUP("Monthly", 'Maintenance Activities'!$A$2:$B$5, 2, FALSE) /60</f>
        <v>2.5</v>
      </c>
      <c r="D148">
        <f>VLOOKUP(A148, 'Bike Stations'!$A$2:$B$255, 2, FALSE) * VLOOKUP("Biannual", 'Maintenance Activities'!$A$2:$B$5, 2, FALSE) / 60</f>
        <v>5</v>
      </c>
      <c r="E148">
        <f>VLOOKUP(A148, 'Bike Stations'!$A$2:$B$255, 2, FALSE) * VLOOKUP("Annual", 'Maintenance Activities'!$A$2:$B$5, 2, FALSE) / 60</f>
        <v>10</v>
      </c>
      <c r="F148" s="5">
        <f t="shared" si="2"/>
        <v>18.333333333333336</v>
      </c>
    </row>
    <row r="149" spans="1:6" x14ac:dyDescent="0.35">
      <c r="A149" t="str">
        <f>'Bike Stations'!A149</f>
        <v>Gilberstoun</v>
      </c>
      <c r="B149">
        <f>VLOOKUP(A149, 'Bike Stations'!$A$2:$B149, 2, FALSE) * VLOOKUP("Weekly", 'Maintenance Activities'!$A$2:$B$5, 2, FALSE) /60</f>
        <v>0.83333333333333337</v>
      </c>
      <c r="C149">
        <f>VLOOKUP(A149, 'Bike Stations'!$A$2:$B$255, 2, FALSE) * VLOOKUP("Monthly", 'Maintenance Activities'!$A$2:$B$5, 2, FALSE) /60</f>
        <v>2.5</v>
      </c>
      <c r="D149">
        <f>VLOOKUP(A149, 'Bike Stations'!$A$2:$B$255, 2, FALSE) * VLOOKUP("Biannual", 'Maintenance Activities'!$A$2:$B$5, 2, FALSE) / 60</f>
        <v>5</v>
      </c>
      <c r="E149">
        <f>VLOOKUP(A149, 'Bike Stations'!$A$2:$B$255, 2, FALSE) * VLOOKUP("Annual", 'Maintenance Activities'!$A$2:$B$5, 2, FALSE) / 60</f>
        <v>10</v>
      </c>
      <c r="F149" s="5">
        <f t="shared" si="2"/>
        <v>18.333333333333336</v>
      </c>
    </row>
    <row r="150" spans="1:6" x14ac:dyDescent="0.35">
      <c r="A150" t="str">
        <f>'Bike Stations'!A150</f>
        <v>Salamander Street</v>
      </c>
      <c r="B150">
        <f>VLOOKUP(A150, 'Bike Stations'!$A$2:$B150, 2, FALSE) * VLOOKUP("Weekly", 'Maintenance Activities'!$A$2:$B$5, 2, FALSE) /60</f>
        <v>0</v>
      </c>
      <c r="C150">
        <f>VLOOKUP(A150, 'Bike Stations'!$A$2:$B$255, 2, FALSE) * VLOOKUP("Monthly", 'Maintenance Activities'!$A$2:$B$5, 2, FALSE) /60</f>
        <v>0</v>
      </c>
      <c r="D150">
        <f>VLOOKUP(A150, 'Bike Stations'!$A$2:$B$255, 2, FALSE) * VLOOKUP("Biannual", 'Maintenance Activities'!$A$2:$B$5, 2, FALSE) / 60</f>
        <v>0</v>
      </c>
      <c r="E150">
        <f>VLOOKUP(A150, 'Bike Stations'!$A$2:$B$255, 2, FALSE) * VLOOKUP("Annual", 'Maintenance Activities'!$A$2:$B$5, 2, FALSE) / 60</f>
        <v>0</v>
      </c>
      <c r="F150" s="5">
        <f t="shared" si="2"/>
        <v>0</v>
      </c>
    </row>
    <row r="151" spans="1:6" x14ac:dyDescent="0.35">
      <c r="A151" t="str">
        <f>'Bike Stations'!A151</f>
        <v>Leith Walk North</v>
      </c>
      <c r="B151">
        <f>VLOOKUP(A151, 'Bike Stations'!$A$2:$B151, 2, FALSE) * VLOOKUP("Weekly", 'Maintenance Activities'!$A$2:$B$5, 2, FALSE) /60</f>
        <v>9.1666666666666661</v>
      </c>
      <c r="C151">
        <f>VLOOKUP(A151, 'Bike Stations'!$A$2:$B$255, 2, FALSE) * VLOOKUP("Monthly", 'Maintenance Activities'!$A$2:$B$5, 2, FALSE) /60</f>
        <v>27.5</v>
      </c>
      <c r="D151">
        <f>VLOOKUP(A151, 'Bike Stations'!$A$2:$B$255, 2, FALSE) * VLOOKUP("Biannual", 'Maintenance Activities'!$A$2:$B$5, 2, FALSE) / 60</f>
        <v>55</v>
      </c>
      <c r="E151">
        <f>VLOOKUP(A151, 'Bike Stations'!$A$2:$B$255, 2, FALSE) * VLOOKUP("Annual", 'Maintenance Activities'!$A$2:$B$5, 2, FALSE) / 60</f>
        <v>110</v>
      </c>
      <c r="F151" s="5">
        <f t="shared" si="2"/>
        <v>201.66666666666666</v>
      </c>
    </row>
    <row r="152" spans="1:6" x14ac:dyDescent="0.35">
      <c r="A152" t="str">
        <f>'Bike Stations'!A152</f>
        <v>Dudingston Park South</v>
      </c>
      <c r="B152">
        <f>VLOOKUP(A152, 'Bike Stations'!$A$2:$B152, 2, FALSE) * VLOOKUP("Weekly", 'Maintenance Activities'!$A$2:$B$5, 2, FALSE) /60</f>
        <v>0.83333333333333337</v>
      </c>
      <c r="C152">
        <f>VLOOKUP(A152, 'Bike Stations'!$A$2:$B$255, 2, FALSE) * VLOOKUP("Monthly", 'Maintenance Activities'!$A$2:$B$5, 2, FALSE) /60</f>
        <v>2.5</v>
      </c>
      <c r="D152">
        <f>VLOOKUP(A152, 'Bike Stations'!$A$2:$B$255, 2, FALSE) * VLOOKUP("Biannual", 'Maintenance Activities'!$A$2:$B$5, 2, FALSE) / 60</f>
        <v>5</v>
      </c>
      <c r="E152">
        <f>VLOOKUP(A152, 'Bike Stations'!$A$2:$B$255, 2, FALSE) * VLOOKUP("Annual", 'Maintenance Activities'!$A$2:$B$5, 2, FALSE) / 60</f>
        <v>10</v>
      </c>
      <c r="F152" s="5">
        <f t="shared" si="2"/>
        <v>18.333333333333336</v>
      </c>
    </row>
    <row r="153" spans="1:6" x14ac:dyDescent="0.35">
      <c r="A153" t="str">
        <f>'Bike Stations'!A153</f>
        <v>Fox Spring Crescent</v>
      </c>
      <c r="B153">
        <f>VLOOKUP(A153, 'Bike Stations'!$A$2:$B153, 2, FALSE) * VLOOKUP("Weekly", 'Maintenance Activities'!$A$2:$B$5, 2, FALSE) /60</f>
        <v>0.83333333333333337</v>
      </c>
      <c r="C153">
        <f>VLOOKUP(A153, 'Bike Stations'!$A$2:$B$255, 2, FALSE) * VLOOKUP("Monthly", 'Maintenance Activities'!$A$2:$B$5, 2, FALSE) /60</f>
        <v>2.5</v>
      </c>
      <c r="D153">
        <f>VLOOKUP(A153, 'Bike Stations'!$A$2:$B$255, 2, FALSE) * VLOOKUP("Biannual", 'Maintenance Activities'!$A$2:$B$5, 2, FALSE) / 60</f>
        <v>5</v>
      </c>
      <c r="E153">
        <f>VLOOKUP(A153, 'Bike Stations'!$A$2:$B$255, 2, FALSE) * VLOOKUP("Annual", 'Maintenance Activities'!$A$2:$B$5, 2, FALSE) / 60</f>
        <v>10</v>
      </c>
      <c r="F153" s="5">
        <f t="shared" si="2"/>
        <v>18.333333333333336</v>
      </c>
    </row>
    <row r="154" spans="1:6" x14ac:dyDescent="0.35">
      <c r="A154" t="str">
        <f>'Bike Stations'!A154</f>
        <v>Abercorn Park</v>
      </c>
      <c r="B154">
        <f>VLOOKUP(A154, 'Bike Stations'!$A$2:$B154, 2, FALSE) * VLOOKUP("Weekly", 'Maintenance Activities'!$A$2:$B$5, 2, FALSE) /60</f>
        <v>0.83333333333333337</v>
      </c>
      <c r="C154">
        <f>VLOOKUP(A154, 'Bike Stations'!$A$2:$B$255, 2, FALSE) * VLOOKUP("Monthly", 'Maintenance Activities'!$A$2:$B$5, 2, FALSE) /60</f>
        <v>2.5</v>
      </c>
      <c r="D154">
        <f>VLOOKUP(A154, 'Bike Stations'!$A$2:$B$255, 2, FALSE) * VLOOKUP("Biannual", 'Maintenance Activities'!$A$2:$B$5, 2, FALSE) / 60</f>
        <v>5</v>
      </c>
      <c r="E154">
        <f>VLOOKUP(A154, 'Bike Stations'!$A$2:$B$255, 2, FALSE) * VLOOKUP("Annual", 'Maintenance Activities'!$A$2:$B$5, 2, FALSE) / 60</f>
        <v>10</v>
      </c>
      <c r="F154" s="5">
        <f t="shared" si="2"/>
        <v>18.333333333333336</v>
      </c>
    </row>
    <row r="155" spans="1:6" x14ac:dyDescent="0.35">
      <c r="A155" t="str">
        <f>'Bike Stations'!A155</f>
        <v>Portobello Road</v>
      </c>
      <c r="B155">
        <f>VLOOKUP(A155, 'Bike Stations'!$A$2:$B155, 2, FALSE) * VLOOKUP("Weekly", 'Maintenance Activities'!$A$2:$B$5, 2, FALSE) /60</f>
        <v>0.83333333333333337</v>
      </c>
      <c r="C155">
        <f>VLOOKUP(A155, 'Bike Stations'!$A$2:$B$255, 2, FALSE) * VLOOKUP("Monthly", 'Maintenance Activities'!$A$2:$B$5, 2, FALSE) /60</f>
        <v>2.5</v>
      </c>
      <c r="D155">
        <f>VLOOKUP(A155, 'Bike Stations'!$A$2:$B$255, 2, FALSE) * VLOOKUP("Biannual", 'Maintenance Activities'!$A$2:$B$5, 2, FALSE) / 60</f>
        <v>5</v>
      </c>
      <c r="E155">
        <f>VLOOKUP(A155, 'Bike Stations'!$A$2:$B$255, 2, FALSE) * VLOOKUP("Annual", 'Maintenance Activities'!$A$2:$B$5, 2, FALSE) / 60</f>
        <v>10</v>
      </c>
      <c r="F155" s="5">
        <f t="shared" si="2"/>
        <v>18.333333333333336</v>
      </c>
    </row>
    <row r="156" spans="1:6" x14ac:dyDescent="0.35">
      <c r="A156" t="str">
        <f>'Bike Stations'!A156</f>
        <v>Groathill Road North</v>
      </c>
      <c r="B156">
        <f>VLOOKUP(A156, 'Bike Stations'!$A$2:$B156, 2, FALSE) * VLOOKUP("Weekly", 'Maintenance Activities'!$A$2:$B$5, 2, FALSE) /60</f>
        <v>0</v>
      </c>
      <c r="C156">
        <f>VLOOKUP(A156, 'Bike Stations'!$A$2:$B$255, 2, FALSE) * VLOOKUP("Monthly", 'Maintenance Activities'!$A$2:$B$5, 2, FALSE) /60</f>
        <v>0</v>
      </c>
      <c r="D156">
        <f>VLOOKUP(A156, 'Bike Stations'!$A$2:$B$255, 2, FALSE) * VLOOKUP("Biannual", 'Maintenance Activities'!$A$2:$B$5, 2, FALSE) / 60</f>
        <v>0</v>
      </c>
      <c r="E156">
        <f>VLOOKUP(A156, 'Bike Stations'!$A$2:$B$255, 2, FALSE) * VLOOKUP("Annual", 'Maintenance Activities'!$A$2:$B$5, 2, FALSE) / 60</f>
        <v>0</v>
      </c>
      <c r="F156" s="5">
        <f t="shared" si="2"/>
        <v>0</v>
      </c>
    </row>
    <row r="157" spans="1:6" x14ac:dyDescent="0.35">
      <c r="A157" t="str">
        <f>'Bike Stations'!A157</f>
        <v>St. John's Road 2</v>
      </c>
      <c r="B157">
        <f>VLOOKUP(A157, 'Bike Stations'!$A$2:$B157, 2, FALSE) * VLOOKUP("Weekly", 'Maintenance Activities'!$A$2:$B$5, 2, FALSE) /60</f>
        <v>0.83333333333333337</v>
      </c>
      <c r="C157">
        <f>VLOOKUP(A157, 'Bike Stations'!$A$2:$B$255, 2, FALSE) * VLOOKUP("Monthly", 'Maintenance Activities'!$A$2:$B$5, 2, FALSE) /60</f>
        <v>2.5</v>
      </c>
      <c r="D157">
        <f>VLOOKUP(A157, 'Bike Stations'!$A$2:$B$255, 2, FALSE) * VLOOKUP("Biannual", 'Maintenance Activities'!$A$2:$B$5, 2, FALSE) / 60</f>
        <v>5</v>
      </c>
      <c r="E157">
        <f>VLOOKUP(A157, 'Bike Stations'!$A$2:$B$255, 2, FALSE) * VLOOKUP("Annual", 'Maintenance Activities'!$A$2:$B$5, 2, FALSE) / 60</f>
        <v>10</v>
      </c>
      <c r="F157" s="5">
        <f t="shared" si="2"/>
        <v>18.333333333333336</v>
      </c>
    </row>
    <row r="158" spans="1:6" x14ac:dyDescent="0.35">
      <c r="A158" t="str">
        <f>'Bike Stations'!A158</f>
        <v>Malleny Millgate</v>
      </c>
      <c r="B158">
        <f>VLOOKUP(A158, 'Bike Stations'!$A$2:$B158, 2, FALSE) * VLOOKUP("Weekly", 'Maintenance Activities'!$A$2:$B$5, 2, FALSE) /60</f>
        <v>0</v>
      </c>
      <c r="C158">
        <f>VLOOKUP(A158, 'Bike Stations'!$A$2:$B$255, 2, FALSE) * VLOOKUP("Monthly", 'Maintenance Activities'!$A$2:$B$5, 2, FALSE) /60</f>
        <v>0</v>
      </c>
      <c r="D158">
        <f>VLOOKUP(A158, 'Bike Stations'!$A$2:$B$255, 2, FALSE) * VLOOKUP("Biannual", 'Maintenance Activities'!$A$2:$B$5, 2, FALSE) / 60</f>
        <v>0</v>
      </c>
      <c r="E158">
        <f>VLOOKUP(A158, 'Bike Stations'!$A$2:$B$255, 2, FALSE) * VLOOKUP("Annual", 'Maintenance Activities'!$A$2:$B$5, 2, FALSE) / 60</f>
        <v>0</v>
      </c>
      <c r="F158" s="5">
        <f t="shared" si="2"/>
        <v>0</v>
      </c>
    </row>
    <row r="159" spans="1:6" x14ac:dyDescent="0.35">
      <c r="A159" t="str">
        <f>'Bike Stations'!A159</f>
        <v>Boswall Parkway</v>
      </c>
      <c r="B159">
        <f>VLOOKUP(A159, 'Bike Stations'!$A$2:$B159, 2, FALSE) * VLOOKUP("Weekly", 'Maintenance Activities'!$A$2:$B$5, 2, FALSE) /60</f>
        <v>0</v>
      </c>
      <c r="C159">
        <f>VLOOKUP(A159, 'Bike Stations'!$A$2:$B$255, 2, FALSE) * VLOOKUP("Monthly", 'Maintenance Activities'!$A$2:$B$5, 2, FALSE) /60</f>
        <v>0</v>
      </c>
      <c r="D159">
        <f>VLOOKUP(A159, 'Bike Stations'!$A$2:$B$255, 2, FALSE) * VLOOKUP("Biannual", 'Maintenance Activities'!$A$2:$B$5, 2, FALSE) / 60</f>
        <v>0</v>
      </c>
      <c r="E159">
        <f>VLOOKUP(A159, 'Bike Stations'!$A$2:$B$255, 2, FALSE) * VLOOKUP("Annual", 'Maintenance Activities'!$A$2:$B$5, 2, FALSE) / 60</f>
        <v>0</v>
      </c>
      <c r="F159" s="5">
        <f t="shared" si="2"/>
        <v>0</v>
      </c>
    </row>
    <row r="160" spans="1:6" x14ac:dyDescent="0.35">
      <c r="A160" t="str">
        <f>'Bike Stations'!A160</f>
        <v>Lasswade Road</v>
      </c>
      <c r="B160">
        <f>VLOOKUP(A160, 'Bike Stations'!$A$2:$B160, 2, FALSE) * VLOOKUP("Weekly", 'Maintenance Activities'!$A$2:$B$5, 2, FALSE) /60</f>
        <v>0.83333333333333337</v>
      </c>
      <c r="C160">
        <f>VLOOKUP(A160, 'Bike Stations'!$A$2:$B$255, 2, FALSE) * VLOOKUP("Monthly", 'Maintenance Activities'!$A$2:$B$5, 2, FALSE) /60</f>
        <v>2.5</v>
      </c>
      <c r="D160">
        <f>VLOOKUP(A160, 'Bike Stations'!$A$2:$B$255, 2, FALSE) * VLOOKUP("Biannual", 'Maintenance Activities'!$A$2:$B$5, 2, FALSE) / 60</f>
        <v>5</v>
      </c>
      <c r="E160">
        <f>VLOOKUP(A160, 'Bike Stations'!$A$2:$B$255, 2, FALSE) * VLOOKUP("Annual", 'Maintenance Activities'!$A$2:$B$5, 2, FALSE) / 60</f>
        <v>10</v>
      </c>
      <c r="F160" s="5">
        <f t="shared" si="2"/>
        <v>18.333333333333336</v>
      </c>
    </row>
    <row r="161" spans="1:6" x14ac:dyDescent="0.35">
      <c r="A161" t="str">
        <f>'Bike Stations'!A161</f>
        <v>Powerleague Seaside Pitches</v>
      </c>
      <c r="B161">
        <f>VLOOKUP(A161, 'Bike Stations'!$A$2:$B161, 2, FALSE) * VLOOKUP("Weekly", 'Maintenance Activities'!$A$2:$B$5, 2, FALSE) /60</f>
        <v>9.1666666666666661</v>
      </c>
      <c r="C161">
        <f>VLOOKUP(A161, 'Bike Stations'!$A$2:$B$255, 2, FALSE) * VLOOKUP("Monthly", 'Maintenance Activities'!$A$2:$B$5, 2, FALSE) /60</f>
        <v>27.5</v>
      </c>
      <c r="D161">
        <f>VLOOKUP(A161, 'Bike Stations'!$A$2:$B$255, 2, FALSE) * VLOOKUP("Biannual", 'Maintenance Activities'!$A$2:$B$5, 2, FALSE) / 60</f>
        <v>55</v>
      </c>
      <c r="E161">
        <f>VLOOKUP(A161, 'Bike Stations'!$A$2:$B$255, 2, FALSE) * VLOOKUP("Annual", 'Maintenance Activities'!$A$2:$B$5, 2, FALSE) / 60</f>
        <v>110</v>
      </c>
      <c r="F161" s="5">
        <f t="shared" si="2"/>
        <v>201.66666666666666</v>
      </c>
    </row>
    <row r="162" spans="1:6" x14ac:dyDescent="0.35">
      <c r="A162" t="str">
        <f>'Bike Stations'!A162</f>
        <v>Minto Street</v>
      </c>
      <c r="B162">
        <f>VLOOKUP(A162, 'Bike Stations'!$A$2:$B162, 2, FALSE) * VLOOKUP("Weekly", 'Maintenance Activities'!$A$2:$B$5, 2, FALSE) /60</f>
        <v>9.1666666666666661</v>
      </c>
      <c r="C162">
        <f>VLOOKUP(A162, 'Bike Stations'!$A$2:$B$255, 2, FALSE) * VLOOKUP("Monthly", 'Maintenance Activities'!$A$2:$B$5, 2, FALSE) /60</f>
        <v>27.5</v>
      </c>
      <c r="D162">
        <f>VLOOKUP(A162, 'Bike Stations'!$A$2:$B$255, 2, FALSE) * VLOOKUP("Biannual", 'Maintenance Activities'!$A$2:$B$5, 2, FALSE) / 60</f>
        <v>55</v>
      </c>
      <c r="E162">
        <f>VLOOKUP(A162, 'Bike Stations'!$A$2:$B$255, 2, FALSE) * VLOOKUP("Annual", 'Maintenance Activities'!$A$2:$B$5, 2, FALSE) / 60</f>
        <v>110</v>
      </c>
      <c r="F162" s="5">
        <f t="shared" si="2"/>
        <v>201.66666666666666</v>
      </c>
    </row>
    <row r="163" spans="1:6" x14ac:dyDescent="0.35">
      <c r="A163" t="str">
        <f>'Bike Stations'!A163</f>
        <v>Calder Gardens</v>
      </c>
      <c r="B163">
        <f>VLOOKUP(A163, 'Bike Stations'!$A$2:$B163, 2, FALSE) * VLOOKUP("Weekly", 'Maintenance Activities'!$A$2:$B$5, 2, FALSE) /60</f>
        <v>0</v>
      </c>
      <c r="C163">
        <f>VLOOKUP(A163, 'Bike Stations'!$A$2:$B$255, 2, FALSE) * VLOOKUP("Monthly", 'Maintenance Activities'!$A$2:$B$5, 2, FALSE) /60</f>
        <v>0</v>
      </c>
      <c r="D163">
        <f>VLOOKUP(A163, 'Bike Stations'!$A$2:$B$255, 2, FALSE) * VLOOKUP("Biannual", 'Maintenance Activities'!$A$2:$B$5, 2, FALSE) / 60</f>
        <v>0</v>
      </c>
      <c r="E163">
        <f>VLOOKUP(A163, 'Bike Stations'!$A$2:$B$255, 2, FALSE) * VLOOKUP("Annual", 'Maintenance Activities'!$A$2:$B$5, 2, FALSE) / 60</f>
        <v>0</v>
      </c>
      <c r="F163" s="5">
        <f t="shared" si="2"/>
        <v>0</v>
      </c>
    </row>
    <row r="164" spans="1:6" x14ac:dyDescent="0.35">
      <c r="A164" t="str">
        <f>'Bike Stations'!A164</f>
        <v>Gogarbank</v>
      </c>
      <c r="B164">
        <f>VLOOKUP(A164, 'Bike Stations'!$A$2:$B164, 2, FALSE) * VLOOKUP("Weekly", 'Maintenance Activities'!$A$2:$B$5, 2, FALSE) /60</f>
        <v>0</v>
      </c>
      <c r="C164">
        <f>VLOOKUP(A164, 'Bike Stations'!$A$2:$B$255, 2, FALSE) * VLOOKUP("Monthly", 'Maintenance Activities'!$A$2:$B$5, 2, FALSE) /60</f>
        <v>0</v>
      </c>
      <c r="D164">
        <f>VLOOKUP(A164, 'Bike Stations'!$A$2:$B$255, 2, FALSE) * VLOOKUP("Biannual", 'Maintenance Activities'!$A$2:$B$5, 2, FALSE) / 60</f>
        <v>0</v>
      </c>
      <c r="E164">
        <f>VLOOKUP(A164, 'Bike Stations'!$A$2:$B$255, 2, FALSE) * VLOOKUP("Annual", 'Maintenance Activities'!$A$2:$B$5, 2, FALSE) / 60</f>
        <v>0</v>
      </c>
      <c r="F164" s="5">
        <f t="shared" si="2"/>
        <v>0</v>
      </c>
    </row>
    <row r="165" spans="1:6" x14ac:dyDescent="0.35">
      <c r="A165" t="str">
        <f>'Bike Stations'!A165</f>
        <v>Canal View Primary School</v>
      </c>
      <c r="B165">
        <f>VLOOKUP(A165, 'Bike Stations'!$A$2:$B165, 2, FALSE) * VLOOKUP("Weekly", 'Maintenance Activities'!$A$2:$B$5, 2, FALSE) /60</f>
        <v>0</v>
      </c>
      <c r="C165">
        <f>VLOOKUP(A165, 'Bike Stations'!$A$2:$B$255, 2, FALSE) * VLOOKUP("Monthly", 'Maintenance Activities'!$A$2:$B$5, 2, FALSE) /60</f>
        <v>0</v>
      </c>
      <c r="D165">
        <f>VLOOKUP(A165, 'Bike Stations'!$A$2:$B$255, 2, FALSE) * VLOOKUP("Biannual", 'Maintenance Activities'!$A$2:$B$5, 2, FALSE) / 60</f>
        <v>0</v>
      </c>
      <c r="E165">
        <f>VLOOKUP(A165, 'Bike Stations'!$A$2:$B$255, 2, FALSE) * VLOOKUP("Annual", 'Maintenance Activities'!$A$2:$B$5, 2, FALSE) / 60</f>
        <v>0</v>
      </c>
      <c r="F165" s="5">
        <f t="shared" si="2"/>
        <v>0</v>
      </c>
    </row>
    <row r="166" spans="1:6" x14ac:dyDescent="0.35">
      <c r="A166" t="str">
        <f>'Bike Stations'!A166</f>
        <v>Warriston Playing Fields</v>
      </c>
      <c r="B166">
        <f>VLOOKUP(A166, 'Bike Stations'!$A$2:$B166, 2, FALSE) * VLOOKUP("Weekly", 'Maintenance Activities'!$A$2:$B$5, 2, FALSE) /60</f>
        <v>9.1666666666666661</v>
      </c>
      <c r="C166">
        <f>VLOOKUP(A166, 'Bike Stations'!$A$2:$B$255, 2, FALSE) * VLOOKUP("Monthly", 'Maintenance Activities'!$A$2:$B$5, 2, FALSE) /60</f>
        <v>27.5</v>
      </c>
      <c r="D166">
        <f>VLOOKUP(A166, 'Bike Stations'!$A$2:$B$255, 2, FALSE) * VLOOKUP("Biannual", 'Maintenance Activities'!$A$2:$B$5, 2, FALSE) / 60</f>
        <v>55</v>
      </c>
      <c r="E166">
        <f>VLOOKUP(A166, 'Bike Stations'!$A$2:$B$255, 2, FALSE) * VLOOKUP("Annual", 'Maintenance Activities'!$A$2:$B$5, 2, FALSE) / 60</f>
        <v>110</v>
      </c>
      <c r="F166" s="5">
        <f t="shared" si="2"/>
        <v>201.66666666666666</v>
      </c>
    </row>
    <row r="167" spans="1:6" x14ac:dyDescent="0.35">
      <c r="A167" t="str">
        <f>'Bike Stations'!A167</f>
        <v>Clermiston Road</v>
      </c>
      <c r="B167">
        <f>VLOOKUP(A167, 'Bike Stations'!$A$2:$B167, 2, FALSE) * VLOOKUP("Weekly", 'Maintenance Activities'!$A$2:$B$5, 2, FALSE) /60</f>
        <v>0.83333333333333337</v>
      </c>
      <c r="C167">
        <f>VLOOKUP(A167, 'Bike Stations'!$A$2:$B$255, 2, FALSE) * VLOOKUP("Monthly", 'Maintenance Activities'!$A$2:$B$5, 2, FALSE) /60</f>
        <v>2.5</v>
      </c>
      <c r="D167">
        <f>VLOOKUP(A167, 'Bike Stations'!$A$2:$B$255, 2, FALSE) * VLOOKUP("Biannual", 'Maintenance Activities'!$A$2:$B$5, 2, FALSE) / 60</f>
        <v>5</v>
      </c>
      <c r="E167">
        <f>VLOOKUP(A167, 'Bike Stations'!$A$2:$B$255, 2, FALSE) * VLOOKUP("Annual", 'Maintenance Activities'!$A$2:$B$5, 2, FALSE) / 60</f>
        <v>10</v>
      </c>
      <c r="F167" s="5">
        <f t="shared" si="2"/>
        <v>18.333333333333336</v>
      </c>
    </row>
    <row r="168" spans="1:6" x14ac:dyDescent="0.35">
      <c r="A168" t="str">
        <f>'Bike Stations'!A168</f>
        <v>Midfield House</v>
      </c>
      <c r="B168">
        <f>VLOOKUP(A168, 'Bike Stations'!$A$2:$B168, 2, FALSE) * VLOOKUP("Weekly", 'Maintenance Activities'!$A$2:$B$5, 2, FALSE) /60</f>
        <v>0</v>
      </c>
      <c r="C168">
        <f>VLOOKUP(A168, 'Bike Stations'!$A$2:$B$255, 2, FALSE) * VLOOKUP("Monthly", 'Maintenance Activities'!$A$2:$B$5, 2, FALSE) /60</f>
        <v>0</v>
      </c>
      <c r="D168">
        <f>VLOOKUP(A168, 'Bike Stations'!$A$2:$B$255, 2, FALSE) * VLOOKUP("Biannual", 'Maintenance Activities'!$A$2:$B$5, 2, FALSE) / 60</f>
        <v>0</v>
      </c>
      <c r="E168">
        <f>VLOOKUP(A168, 'Bike Stations'!$A$2:$B$255, 2, FALSE) * VLOOKUP("Annual", 'Maintenance Activities'!$A$2:$B$5, 2, FALSE) / 60</f>
        <v>0</v>
      </c>
      <c r="F168" s="5">
        <f t="shared" si="2"/>
        <v>0</v>
      </c>
    </row>
    <row r="169" spans="1:6" x14ac:dyDescent="0.35">
      <c r="A169" t="str">
        <f>'Bike Stations'!A169</f>
        <v>Greenbank Gardens</v>
      </c>
      <c r="B169">
        <f>VLOOKUP(A169, 'Bike Stations'!$A$2:$B169, 2, FALSE) * VLOOKUP("Weekly", 'Maintenance Activities'!$A$2:$B$5, 2, FALSE) /60</f>
        <v>0.83333333333333337</v>
      </c>
      <c r="C169">
        <f>VLOOKUP(A169, 'Bike Stations'!$A$2:$B$255, 2, FALSE) * VLOOKUP("Monthly", 'Maintenance Activities'!$A$2:$B$5, 2, FALSE) /60</f>
        <v>2.5</v>
      </c>
      <c r="D169">
        <f>VLOOKUP(A169, 'Bike Stations'!$A$2:$B$255, 2, FALSE) * VLOOKUP("Biannual", 'Maintenance Activities'!$A$2:$B$5, 2, FALSE) / 60</f>
        <v>5</v>
      </c>
      <c r="E169">
        <f>VLOOKUP(A169, 'Bike Stations'!$A$2:$B$255, 2, FALSE) * VLOOKUP("Annual", 'Maintenance Activities'!$A$2:$B$5, 2, FALSE) / 60</f>
        <v>10</v>
      </c>
      <c r="F169" s="5">
        <f t="shared" si="2"/>
        <v>18.333333333333336</v>
      </c>
    </row>
    <row r="170" spans="1:6" x14ac:dyDescent="0.35">
      <c r="A170" t="str">
        <f>'Bike Stations'!A170</f>
        <v>Cammo Mews</v>
      </c>
      <c r="B170">
        <f>VLOOKUP(A170, 'Bike Stations'!$A$2:$B170, 2, FALSE) * VLOOKUP("Weekly", 'Maintenance Activities'!$A$2:$B$5, 2, FALSE) /60</f>
        <v>0</v>
      </c>
      <c r="C170">
        <f>VLOOKUP(A170, 'Bike Stations'!$A$2:$B$255, 2, FALSE) * VLOOKUP("Monthly", 'Maintenance Activities'!$A$2:$B$5, 2, FALSE) /60</f>
        <v>0</v>
      </c>
      <c r="D170">
        <f>VLOOKUP(A170, 'Bike Stations'!$A$2:$B$255, 2, FALSE) * VLOOKUP("Biannual", 'Maintenance Activities'!$A$2:$B$5, 2, FALSE) / 60</f>
        <v>0</v>
      </c>
      <c r="E170">
        <f>VLOOKUP(A170, 'Bike Stations'!$A$2:$B$255, 2, FALSE) * VLOOKUP("Annual", 'Maintenance Activities'!$A$2:$B$5, 2, FALSE) / 60</f>
        <v>0</v>
      </c>
      <c r="F170" s="5">
        <f t="shared" si="2"/>
        <v>0</v>
      </c>
    </row>
    <row r="171" spans="1:6" x14ac:dyDescent="0.35">
      <c r="A171" t="str">
        <f>'Bike Stations'!A171</f>
        <v>Cowden Crescent</v>
      </c>
      <c r="B171">
        <f>VLOOKUP(A171, 'Bike Stations'!$A$2:$B171, 2, FALSE) * VLOOKUP("Weekly", 'Maintenance Activities'!$A$2:$B$5, 2, FALSE) /60</f>
        <v>0</v>
      </c>
      <c r="C171">
        <f>VLOOKUP(A171, 'Bike Stations'!$A$2:$B$255, 2, FALSE) * VLOOKUP("Monthly", 'Maintenance Activities'!$A$2:$B$5, 2, FALSE) /60</f>
        <v>0</v>
      </c>
      <c r="D171">
        <f>VLOOKUP(A171, 'Bike Stations'!$A$2:$B$255, 2, FALSE) * VLOOKUP("Biannual", 'Maintenance Activities'!$A$2:$B$5, 2, FALSE) / 60</f>
        <v>0</v>
      </c>
      <c r="E171">
        <f>VLOOKUP(A171, 'Bike Stations'!$A$2:$B$255, 2, FALSE) * VLOOKUP("Annual", 'Maintenance Activities'!$A$2:$B$5, 2, FALSE) / 60</f>
        <v>0</v>
      </c>
      <c r="F171" s="5">
        <f t="shared" si="2"/>
        <v>0</v>
      </c>
    </row>
    <row r="172" spans="1:6" x14ac:dyDescent="0.35">
      <c r="A172" t="str">
        <f>'Bike Stations'!A172</f>
        <v>Meadows West</v>
      </c>
      <c r="B172">
        <f>VLOOKUP(A172, 'Bike Stations'!$A$2:$B172, 2, FALSE) * VLOOKUP("Weekly", 'Maintenance Activities'!$A$2:$B$5, 2, FALSE) /60</f>
        <v>9.1666666666666661</v>
      </c>
      <c r="C172">
        <f>VLOOKUP(A172, 'Bike Stations'!$A$2:$B$255, 2, FALSE) * VLOOKUP("Monthly", 'Maintenance Activities'!$A$2:$B$5, 2, FALSE) /60</f>
        <v>27.5</v>
      </c>
      <c r="D172">
        <f>VLOOKUP(A172, 'Bike Stations'!$A$2:$B$255, 2, FALSE) * VLOOKUP("Biannual", 'Maintenance Activities'!$A$2:$B$5, 2, FALSE) / 60</f>
        <v>55</v>
      </c>
      <c r="E172">
        <f>VLOOKUP(A172, 'Bike Stations'!$A$2:$B$255, 2, FALSE) * VLOOKUP("Annual", 'Maintenance Activities'!$A$2:$B$5, 2, FALSE) / 60</f>
        <v>110</v>
      </c>
      <c r="F172" s="5">
        <f t="shared" si="2"/>
        <v>201.66666666666666</v>
      </c>
    </row>
    <row r="173" spans="1:6" x14ac:dyDescent="0.35">
      <c r="A173" t="str">
        <f>'Bike Stations'!A173</f>
        <v>Balgreen Road</v>
      </c>
      <c r="B173">
        <f>VLOOKUP(A173, 'Bike Stations'!$A$2:$B173, 2, FALSE) * VLOOKUP("Weekly", 'Maintenance Activities'!$A$2:$B$5, 2, FALSE) /60</f>
        <v>0</v>
      </c>
      <c r="C173">
        <f>VLOOKUP(A173, 'Bike Stations'!$A$2:$B$255, 2, FALSE) * VLOOKUP("Monthly", 'Maintenance Activities'!$A$2:$B$5, 2, FALSE) /60</f>
        <v>0</v>
      </c>
      <c r="D173">
        <f>VLOOKUP(A173, 'Bike Stations'!$A$2:$B$255, 2, FALSE) * VLOOKUP("Biannual", 'Maintenance Activities'!$A$2:$B$5, 2, FALSE) / 60</f>
        <v>0</v>
      </c>
      <c r="E173">
        <f>VLOOKUP(A173, 'Bike Stations'!$A$2:$B$255, 2, FALSE) * VLOOKUP("Annual", 'Maintenance Activities'!$A$2:$B$5, 2, FALSE) / 60</f>
        <v>0</v>
      </c>
      <c r="F173" s="5">
        <f t="shared" si="2"/>
        <v>0</v>
      </c>
    </row>
    <row r="174" spans="1:6" x14ac:dyDescent="0.35">
      <c r="A174" t="str">
        <f>'Bike Stations'!A174</f>
        <v>Merchiston Avenue</v>
      </c>
      <c r="B174">
        <f>VLOOKUP(A174, 'Bike Stations'!$A$2:$B174, 2, FALSE) * VLOOKUP("Weekly", 'Maintenance Activities'!$A$2:$B$5, 2, FALSE) /60</f>
        <v>9.1666666666666661</v>
      </c>
      <c r="C174">
        <f>VLOOKUP(A174, 'Bike Stations'!$A$2:$B$255, 2, FALSE) * VLOOKUP("Monthly", 'Maintenance Activities'!$A$2:$B$5, 2, FALSE) /60</f>
        <v>27.5</v>
      </c>
      <c r="D174">
        <f>VLOOKUP(A174, 'Bike Stations'!$A$2:$B$255, 2, FALSE) * VLOOKUP("Biannual", 'Maintenance Activities'!$A$2:$B$5, 2, FALSE) / 60</f>
        <v>55</v>
      </c>
      <c r="E174">
        <f>VLOOKUP(A174, 'Bike Stations'!$A$2:$B$255, 2, FALSE) * VLOOKUP("Annual", 'Maintenance Activities'!$A$2:$B$5, 2, FALSE) / 60</f>
        <v>110</v>
      </c>
      <c r="F174" s="5">
        <f t="shared" si="2"/>
        <v>201.66666666666666</v>
      </c>
    </row>
    <row r="175" spans="1:6" x14ac:dyDescent="0.35">
      <c r="A175" t="str">
        <f>'Bike Stations'!A175</f>
        <v>Davidsons Mains Medical Centre</v>
      </c>
      <c r="B175">
        <f>VLOOKUP(A175, 'Bike Stations'!$A$2:$B175, 2, FALSE) * VLOOKUP("Weekly", 'Maintenance Activities'!$A$2:$B$5, 2, FALSE) /60</f>
        <v>0</v>
      </c>
      <c r="C175">
        <f>VLOOKUP(A175, 'Bike Stations'!$A$2:$B$255, 2, FALSE) * VLOOKUP("Monthly", 'Maintenance Activities'!$A$2:$B$5, 2, FALSE) /60</f>
        <v>0</v>
      </c>
      <c r="D175">
        <f>VLOOKUP(A175, 'Bike Stations'!$A$2:$B$255, 2, FALSE) * VLOOKUP("Biannual", 'Maintenance Activities'!$A$2:$B$5, 2, FALSE) / 60</f>
        <v>0</v>
      </c>
      <c r="E175">
        <f>VLOOKUP(A175, 'Bike Stations'!$A$2:$B$255, 2, FALSE) * VLOOKUP("Annual", 'Maintenance Activities'!$A$2:$B$5, 2, FALSE) / 60</f>
        <v>0</v>
      </c>
      <c r="F175" s="5">
        <f t="shared" si="2"/>
        <v>0</v>
      </c>
    </row>
    <row r="176" spans="1:6" x14ac:dyDescent="0.35">
      <c r="A176" t="str">
        <f>'Bike Stations'!A176</f>
        <v>Columba Road</v>
      </c>
      <c r="B176">
        <f>VLOOKUP(A176, 'Bike Stations'!$A$2:$B176, 2, FALSE) * VLOOKUP("Weekly", 'Maintenance Activities'!$A$2:$B$5, 2, FALSE) /60</f>
        <v>0.83333333333333337</v>
      </c>
      <c r="C176">
        <f>VLOOKUP(A176, 'Bike Stations'!$A$2:$B$255, 2, FALSE) * VLOOKUP("Monthly", 'Maintenance Activities'!$A$2:$B$5, 2, FALSE) /60</f>
        <v>2.5</v>
      </c>
      <c r="D176">
        <f>VLOOKUP(A176, 'Bike Stations'!$A$2:$B$255, 2, FALSE) * VLOOKUP("Biannual", 'Maintenance Activities'!$A$2:$B$5, 2, FALSE) / 60</f>
        <v>5</v>
      </c>
      <c r="E176">
        <f>VLOOKUP(A176, 'Bike Stations'!$A$2:$B$255, 2, FALSE) * VLOOKUP("Annual", 'Maintenance Activities'!$A$2:$B$5, 2, FALSE) / 60</f>
        <v>10</v>
      </c>
      <c r="F176" s="5">
        <f t="shared" si="2"/>
        <v>18.333333333333336</v>
      </c>
    </row>
    <row r="177" spans="1:6" x14ac:dyDescent="0.35">
      <c r="A177" t="str">
        <f>'Bike Stations'!A177</f>
        <v>Bonnington Road</v>
      </c>
      <c r="B177">
        <f>VLOOKUP(A177, 'Bike Stations'!$A$2:$B177, 2, FALSE) * VLOOKUP("Weekly", 'Maintenance Activities'!$A$2:$B$5, 2, FALSE) /60</f>
        <v>0</v>
      </c>
      <c r="C177">
        <f>VLOOKUP(A177, 'Bike Stations'!$A$2:$B$255, 2, FALSE) * VLOOKUP("Monthly", 'Maintenance Activities'!$A$2:$B$5, 2, FALSE) /60</f>
        <v>0</v>
      </c>
      <c r="D177">
        <f>VLOOKUP(A177, 'Bike Stations'!$A$2:$B$255, 2, FALSE) * VLOOKUP("Biannual", 'Maintenance Activities'!$A$2:$B$5, 2, FALSE) / 60</f>
        <v>0</v>
      </c>
      <c r="E177">
        <f>VLOOKUP(A177, 'Bike Stations'!$A$2:$B$255, 2, FALSE) * VLOOKUP("Annual", 'Maintenance Activities'!$A$2:$B$5, 2, FALSE) / 60</f>
        <v>0</v>
      </c>
      <c r="F177" s="5">
        <f t="shared" si="2"/>
        <v>0</v>
      </c>
    </row>
    <row r="178" spans="1:6" x14ac:dyDescent="0.35">
      <c r="A178" t="str">
        <f>'Bike Stations'!A178</f>
        <v>Nile Grove</v>
      </c>
      <c r="B178">
        <f>VLOOKUP(A178, 'Bike Stations'!$A$2:$B178, 2, FALSE) * VLOOKUP("Weekly", 'Maintenance Activities'!$A$2:$B$5, 2, FALSE) /60</f>
        <v>9.1666666666666661</v>
      </c>
      <c r="C178">
        <f>VLOOKUP(A178, 'Bike Stations'!$A$2:$B$255, 2, FALSE) * VLOOKUP("Monthly", 'Maintenance Activities'!$A$2:$B$5, 2, FALSE) /60</f>
        <v>27.5</v>
      </c>
      <c r="D178">
        <f>VLOOKUP(A178, 'Bike Stations'!$A$2:$B$255, 2, FALSE) * VLOOKUP("Biannual", 'Maintenance Activities'!$A$2:$B$5, 2, FALSE) / 60</f>
        <v>55</v>
      </c>
      <c r="E178">
        <f>VLOOKUP(A178, 'Bike Stations'!$A$2:$B$255, 2, FALSE) * VLOOKUP("Annual", 'Maintenance Activities'!$A$2:$B$5, 2, FALSE) / 60</f>
        <v>110</v>
      </c>
      <c r="F178" s="5">
        <f t="shared" si="2"/>
        <v>201.66666666666666</v>
      </c>
    </row>
    <row r="179" spans="1:6" x14ac:dyDescent="0.35">
      <c r="A179" t="str">
        <f>'Bike Stations'!A179</f>
        <v>Grange Road</v>
      </c>
      <c r="B179">
        <f>VLOOKUP(A179, 'Bike Stations'!$A$2:$B179, 2, FALSE) * VLOOKUP("Weekly", 'Maintenance Activities'!$A$2:$B$5, 2, FALSE) /60</f>
        <v>9.1666666666666661</v>
      </c>
      <c r="C179">
        <f>VLOOKUP(A179, 'Bike Stations'!$A$2:$B$255, 2, FALSE) * VLOOKUP("Monthly", 'Maintenance Activities'!$A$2:$B$5, 2, FALSE) /60</f>
        <v>27.5</v>
      </c>
      <c r="D179">
        <f>VLOOKUP(A179, 'Bike Stations'!$A$2:$B$255, 2, FALSE) * VLOOKUP("Biannual", 'Maintenance Activities'!$A$2:$B$5, 2, FALSE) / 60</f>
        <v>55</v>
      </c>
      <c r="E179">
        <f>VLOOKUP(A179, 'Bike Stations'!$A$2:$B$255, 2, FALSE) * VLOOKUP("Annual", 'Maintenance Activities'!$A$2:$B$5, 2, FALSE) / 60</f>
        <v>110</v>
      </c>
      <c r="F179" s="5">
        <f t="shared" si="2"/>
        <v>201.66666666666666</v>
      </c>
    </row>
    <row r="180" spans="1:6" x14ac:dyDescent="0.35">
      <c r="A180" t="str">
        <f>'Bike Stations'!A180</f>
        <v>Royal Victoria Hospital</v>
      </c>
      <c r="B180">
        <f>VLOOKUP(A180, 'Bike Stations'!$A$2:$B180, 2, FALSE) * VLOOKUP("Weekly", 'Maintenance Activities'!$A$2:$B$5, 2, FALSE) /60</f>
        <v>0.83333333333333337</v>
      </c>
      <c r="C180">
        <f>VLOOKUP(A180, 'Bike Stations'!$A$2:$B$255, 2, FALSE) * VLOOKUP("Monthly", 'Maintenance Activities'!$A$2:$B$5, 2, FALSE) /60</f>
        <v>2.5</v>
      </c>
      <c r="D180">
        <f>VLOOKUP(A180, 'Bike Stations'!$A$2:$B$255, 2, FALSE) * VLOOKUP("Biannual", 'Maintenance Activities'!$A$2:$B$5, 2, FALSE) / 60</f>
        <v>5</v>
      </c>
      <c r="E180">
        <f>VLOOKUP(A180, 'Bike Stations'!$A$2:$B$255, 2, FALSE) * VLOOKUP("Annual", 'Maintenance Activities'!$A$2:$B$5, 2, FALSE) / 60</f>
        <v>10</v>
      </c>
      <c r="F180" s="5">
        <f t="shared" si="2"/>
        <v>18.333333333333336</v>
      </c>
    </row>
    <row r="181" spans="1:6" x14ac:dyDescent="0.35">
      <c r="A181" t="str">
        <f>'Bike Stations'!A181</f>
        <v>Saughton Park Gardens</v>
      </c>
      <c r="B181">
        <f>VLOOKUP(A181, 'Bike Stations'!$A$2:$B181, 2, FALSE) * VLOOKUP("Weekly", 'Maintenance Activities'!$A$2:$B$5, 2, FALSE) /60</f>
        <v>0</v>
      </c>
      <c r="C181">
        <f>VLOOKUP(A181, 'Bike Stations'!$A$2:$B$255, 2, FALSE) * VLOOKUP("Monthly", 'Maintenance Activities'!$A$2:$B$5, 2, FALSE) /60</f>
        <v>0</v>
      </c>
      <c r="D181">
        <f>VLOOKUP(A181, 'Bike Stations'!$A$2:$B$255, 2, FALSE) * VLOOKUP("Biannual", 'Maintenance Activities'!$A$2:$B$5, 2, FALSE) / 60</f>
        <v>0</v>
      </c>
      <c r="E181">
        <f>VLOOKUP(A181, 'Bike Stations'!$A$2:$B$255, 2, FALSE) * VLOOKUP("Annual", 'Maintenance Activities'!$A$2:$B$5, 2, FALSE) / 60</f>
        <v>0</v>
      </c>
      <c r="F181" s="5">
        <f t="shared" si="2"/>
        <v>0</v>
      </c>
    </row>
    <row r="182" spans="1:6" x14ac:dyDescent="0.35">
      <c r="A182" t="str">
        <f>'Bike Stations'!A182</f>
        <v>Edinburgh Royal Infirmary</v>
      </c>
      <c r="B182">
        <f>VLOOKUP(A182, 'Bike Stations'!$A$2:$B182, 2, FALSE) * VLOOKUP("Weekly", 'Maintenance Activities'!$A$2:$B$5, 2, FALSE) /60</f>
        <v>9.1666666666666661</v>
      </c>
      <c r="C182">
        <f>VLOOKUP(A182, 'Bike Stations'!$A$2:$B$255, 2, FALSE) * VLOOKUP("Monthly", 'Maintenance Activities'!$A$2:$B$5, 2, FALSE) /60</f>
        <v>27.5</v>
      </c>
      <c r="D182">
        <f>VLOOKUP(A182, 'Bike Stations'!$A$2:$B$255, 2, FALSE) * VLOOKUP("Biannual", 'Maintenance Activities'!$A$2:$B$5, 2, FALSE) / 60</f>
        <v>55</v>
      </c>
      <c r="E182">
        <f>VLOOKUP(A182, 'Bike Stations'!$A$2:$B$255, 2, FALSE) * VLOOKUP("Annual", 'Maintenance Activities'!$A$2:$B$5, 2, FALSE) / 60</f>
        <v>110</v>
      </c>
      <c r="F182" s="5">
        <f t="shared" si="2"/>
        <v>201.66666666666666</v>
      </c>
    </row>
    <row r="183" spans="1:6" x14ac:dyDescent="0.35">
      <c r="A183" t="str">
        <f>'Bike Stations'!A183</f>
        <v>Stockbridge</v>
      </c>
      <c r="B183">
        <f>VLOOKUP(A183, 'Bike Stations'!$A$2:$B183, 2, FALSE) * VLOOKUP("Weekly", 'Maintenance Activities'!$A$2:$B$5, 2, FALSE) /60</f>
        <v>9.1666666666666661</v>
      </c>
      <c r="C183">
        <f>VLOOKUP(A183, 'Bike Stations'!$A$2:$B$255, 2, FALSE) * VLOOKUP("Monthly", 'Maintenance Activities'!$A$2:$B$5, 2, FALSE) /60</f>
        <v>27.5</v>
      </c>
      <c r="D183">
        <f>VLOOKUP(A183, 'Bike Stations'!$A$2:$B$255, 2, FALSE) * VLOOKUP("Biannual", 'Maintenance Activities'!$A$2:$B$5, 2, FALSE) / 60</f>
        <v>55</v>
      </c>
      <c r="E183">
        <f>VLOOKUP(A183, 'Bike Stations'!$A$2:$B$255, 2, FALSE) * VLOOKUP("Annual", 'Maintenance Activities'!$A$2:$B$5, 2, FALSE) / 60</f>
        <v>110</v>
      </c>
      <c r="F183" s="5">
        <f t="shared" si="2"/>
        <v>201.66666666666666</v>
      </c>
    </row>
    <row r="184" spans="1:6" x14ac:dyDescent="0.35">
      <c r="A184" t="str">
        <f>'Bike Stations'!A184</f>
        <v>Coillesdene Avenue</v>
      </c>
      <c r="B184">
        <f>VLOOKUP(A184, 'Bike Stations'!$A$2:$B184, 2, FALSE) * VLOOKUP("Weekly", 'Maintenance Activities'!$A$2:$B$5, 2, FALSE) /60</f>
        <v>0</v>
      </c>
      <c r="C184">
        <f>VLOOKUP(A184, 'Bike Stations'!$A$2:$B$255, 2, FALSE) * VLOOKUP("Monthly", 'Maintenance Activities'!$A$2:$B$5, 2, FALSE) /60</f>
        <v>0</v>
      </c>
      <c r="D184">
        <f>VLOOKUP(A184, 'Bike Stations'!$A$2:$B$255, 2, FALSE) * VLOOKUP("Biannual", 'Maintenance Activities'!$A$2:$B$5, 2, FALSE) / 60</f>
        <v>0</v>
      </c>
      <c r="E184">
        <f>VLOOKUP(A184, 'Bike Stations'!$A$2:$B$255, 2, FALSE) * VLOOKUP("Annual", 'Maintenance Activities'!$A$2:$B$5, 2, FALSE) / 60</f>
        <v>0</v>
      </c>
      <c r="F184" s="5">
        <f t="shared" si="2"/>
        <v>0</v>
      </c>
    </row>
    <row r="185" spans="1:6" x14ac:dyDescent="0.35">
      <c r="A185" t="str">
        <f>'Bike Stations'!A185</f>
        <v>Learmonth Terrace</v>
      </c>
      <c r="B185">
        <f>VLOOKUP(A185, 'Bike Stations'!$A$2:$B185, 2, FALSE) * VLOOKUP("Weekly", 'Maintenance Activities'!$A$2:$B$5, 2, FALSE) /60</f>
        <v>0</v>
      </c>
      <c r="C185">
        <f>VLOOKUP(A185, 'Bike Stations'!$A$2:$B$255, 2, FALSE) * VLOOKUP("Monthly", 'Maintenance Activities'!$A$2:$B$5, 2, FALSE) /60</f>
        <v>0</v>
      </c>
      <c r="D185">
        <f>VLOOKUP(A185, 'Bike Stations'!$A$2:$B$255, 2, FALSE) * VLOOKUP("Biannual", 'Maintenance Activities'!$A$2:$B$5, 2, FALSE) / 60</f>
        <v>0</v>
      </c>
      <c r="E185">
        <f>VLOOKUP(A185, 'Bike Stations'!$A$2:$B$255, 2, FALSE) * VLOOKUP("Annual", 'Maintenance Activities'!$A$2:$B$5, 2, FALSE) / 60</f>
        <v>0</v>
      </c>
      <c r="F185" s="5">
        <f t="shared" si="2"/>
        <v>0</v>
      </c>
    </row>
    <row r="186" spans="1:6" x14ac:dyDescent="0.35">
      <c r="A186" t="str">
        <f>'Bike Stations'!A186</f>
        <v>Pentland Road</v>
      </c>
      <c r="B186">
        <f>VLOOKUP(A186, 'Bike Stations'!$A$2:$B186, 2, FALSE) * VLOOKUP("Weekly", 'Maintenance Activities'!$A$2:$B$5, 2, FALSE) /60</f>
        <v>0</v>
      </c>
      <c r="C186">
        <f>VLOOKUP(A186, 'Bike Stations'!$A$2:$B$255, 2, FALSE) * VLOOKUP("Monthly", 'Maintenance Activities'!$A$2:$B$5, 2, FALSE) /60</f>
        <v>0</v>
      </c>
      <c r="D186">
        <f>VLOOKUP(A186, 'Bike Stations'!$A$2:$B$255, 2, FALSE) * VLOOKUP("Biannual", 'Maintenance Activities'!$A$2:$B$5, 2, FALSE) / 60</f>
        <v>0</v>
      </c>
      <c r="E186">
        <f>VLOOKUP(A186, 'Bike Stations'!$A$2:$B$255, 2, FALSE) * VLOOKUP("Annual", 'Maintenance Activities'!$A$2:$B$5, 2, FALSE) / 60</f>
        <v>0</v>
      </c>
      <c r="F186" s="5">
        <f t="shared" si="2"/>
        <v>0</v>
      </c>
    </row>
    <row r="187" spans="1:6" x14ac:dyDescent="0.35">
      <c r="A187" t="str">
        <f>'Bike Stations'!A187</f>
        <v>Napier Road</v>
      </c>
      <c r="B187">
        <f>VLOOKUP(A187, 'Bike Stations'!$A$2:$B187, 2, FALSE) * VLOOKUP("Weekly", 'Maintenance Activities'!$A$2:$B$5, 2, FALSE) /60</f>
        <v>0</v>
      </c>
      <c r="C187">
        <f>VLOOKUP(A187, 'Bike Stations'!$A$2:$B$255, 2, FALSE) * VLOOKUP("Monthly", 'Maintenance Activities'!$A$2:$B$5, 2, FALSE) /60</f>
        <v>0</v>
      </c>
      <c r="D187">
        <f>VLOOKUP(A187, 'Bike Stations'!$A$2:$B$255, 2, FALSE) * VLOOKUP("Biannual", 'Maintenance Activities'!$A$2:$B$5, 2, FALSE) / 60</f>
        <v>0</v>
      </c>
      <c r="E187">
        <f>VLOOKUP(A187, 'Bike Stations'!$A$2:$B$255, 2, FALSE) * VLOOKUP("Annual", 'Maintenance Activities'!$A$2:$B$5, 2, FALSE) / 60</f>
        <v>0</v>
      </c>
      <c r="F187" s="5">
        <f t="shared" si="2"/>
        <v>0</v>
      </c>
    </row>
    <row r="188" spans="1:6" x14ac:dyDescent="0.35">
      <c r="A188" t="str">
        <f>'Bike Stations'!A188</f>
        <v>Craiglockhart Road</v>
      </c>
      <c r="B188">
        <f>VLOOKUP(A188, 'Bike Stations'!$A$2:$B188, 2, FALSE) * VLOOKUP("Weekly", 'Maintenance Activities'!$A$2:$B$5, 2, FALSE) /60</f>
        <v>0.83333333333333337</v>
      </c>
      <c r="C188">
        <f>VLOOKUP(A188, 'Bike Stations'!$A$2:$B$255, 2, FALSE) * VLOOKUP("Monthly", 'Maintenance Activities'!$A$2:$B$5, 2, FALSE) /60</f>
        <v>2.5</v>
      </c>
      <c r="D188">
        <f>VLOOKUP(A188, 'Bike Stations'!$A$2:$B$255, 2, FALSE) * VLOOKUP("Biannual", 'Maintenance Activities'!$A$2:$B$5, 2, FALSE) / 60</f>
        <v>5</v>
      </c>
      <c r="E188">
        <f>VLOOKUP(A188, 'Bike Stations'!$A$2:$B$255, 2, FALSE) * VLOOKUP("Annual", 'Maintenance Activities'!$A$2:$B$5, 2, FALSE) / 60</f>
        <v>10</v>
      </c>
      <c r="F188" s="5">
        <f t="shared" si="2"/>
        <v>18.333333333333336</v>
      </c>
    </row>
    <row r="189" spans="1:6" x14ac:dyDescent="0.35">
      <c r="A189" t="str">
        <f>'Bike Stations'!A189</f>
        <v>Queen's Gardens</v>
      </c>
      <c r="B189">
        <f>VLOOKUP(A189, 'Bike Stations'!$A$2:$B189, 2, FALSE) * VLOOKUP("Weekly", 'Maintenance Activities'!$A$2:$B$5, 2, FALSE) /60</f>
        <v>0.83333333333333337</v>
      </c>
      <c r="C189">
        <f>VLOOKUP(A189, 'Bike Stations'!$A$2:$B$255, 2, FALSE) * VLOOKUP("Monthly", 'Maintenance Activities'!$A$2:$B$5, 2, FALSE) /60</f>
        <v>2.5</v>
      </c>
      <c r="D189">
        <f>VLOOKUP(A189, 'Bike Stations'!$A$2:$B$255, 2, FALSE) * VLOOKUP("Biannual", 'Maintenance Activities'!$A$2:$B$5, 2, FALSE) / 60</f>
        <v>5</v>
      </c>
      <c r="E189">
        <f>VLOOKUP(A189, 'Bike Stations'!$A$2:$B$255, 2, FALSE) * VLOOKUP("Annual", 'Maintenance Activities'!$A$2:$B$5, 2, FALSE) / 60</f>
        <v>10</v>
      </c>
      <c r="F189" s="5">
        <f t="shared" si="2"/>
        <v>18.333333333333336</v>
      </c>
    </row>
    <row r="190" spans="1:6" x14ac:dyDescent="0.35">
      <c r="A190" t="str">
        <f>'Bike Stations'!A190</f>
        <v>Lennox Road</v>
      </c>
      <c r="B190">
        <f>VLOOKUP(A190, 'Bike Stations'!$A$2:$B190, 2, FALSE) * VLOOKUP("Weekly", 'Maintenance Activities'!$A$2:$B$5, 2, FALSE) /60</f>
        <v>0</v>
      </c>
      <c r="C190">
        <f>VLOOKUP(A190, 'Bike Stations'!$A$2:$B$255, 2, FALSE) * VLOOKUP("Monthly", 'Maintenance Activities'!$A$2:$B$5, 2, FALSE) /60</f>
        <v>0</v>
      </c>
      <c r="D190">
        <f>VLOOKUP(A190, 'Bike Stations'!$A$2:$B$255, 2, FALSE) * VLOOKUP("Biannual", 'Maintenance Activities'!$A$2:$B$5, 2, FALSE) / 60</f>
        <v>0</v>
      </c>
      <c r="E190">
        <f>VLOOKUP(A190, 'Bike Stations'!$A$2:$B$255, 2, FALSE) * VLOOKUP("Annual", 'Maintenance Activities'!$A$2:$B$5, 2, FALSE) / 60</f>
        <v>0</v>
      </c>
      <c r="F190" s="5">
        <f t="shared" si="2"/>
        <v>0</v>
      </c>
    </row>
    <row r="191" spans="1:6" x14ac:dyDescent="0.35">
      <c r="A191" t="str">
        <f>'Bike Stations'!A191</f>
        <v>Carnbee Park</v>
      </c>
      <c r="B191">
        <f>VLOOKUP(A191, 'Bike Stations'!$A$2:$B191, 2, FALSE) * VLOOKUP("Weekly", 'Maintenance Activities'!$A$2:$B$5, 2, FALSE) /60</f>
        <v>0</v>
      </c>
      <c r="C191">
        <f>VLOOKUP(A191, 'Bike Stations'!$A$2:$B$255, 2, FALSE) * VLOOKUP("Monthly", 'Maintenance Activities'!$A$2:$B$5, 2, FALSE) /60</f>
        <v>0</v>
      </c>
      <c r="D191">
        <f>VLOOKUP(A191, 'Bike Stations'!$A$2:$B$255, 2, FALSE) * VLOOKUP("Biannual", 'Maintenance Activities'!$A$2:$B$5, 2, FALSE) / 60</f>
        <v>0</v>
      </c>
      <c r="E191">
        <f>VLOOKUP(A191, 'Bike Stations'!$A$2:$B$255, 2, FALSE) * VLOOKUP("Annual", 'Maintenance Activities'!$A$2:$B$5, 2, FALSE) / 60</f>
        <v>0</v>
      </c>
      <c r="F191" s="5">
        <f t="shared" si="2"/>
        <v>0</v>
      </c>
    </row>
    <row r="192" spans="1:6" x14ac:dyDescent="0.35">
      <c r="A192" t="str">
        <f>'Bike Stations'!A192</f>
        <v>Welfare Park</v>
      </c>
      <c r="B192">
        <f>VLOOKUP(A192, 'Bike Stations'!$A$2:$B192, 2, FALSE) * VLOOKUP("Weekly", 'Maintenance Activities'!$A$2:$B$5, 2, FALSE) /60</f>
        <v>0</v>
      </c>
      <c r="C192">
        <f>VLOOKUP(A192, 'Bike Stations'!$A$2:$B$255, 2, FALSE) * VLOOKUP("Monthly", 'Maintenance Activities'!$A$2:$B$5, 2, FALSE) /60</f>
        <v>0</v>
      </c>
      <c r="D192">
        <f>VLOOKUP(A192, 'Bike Stations'!$A$2:$B$255, 2, FALSE) * VLOOKUP("Biannual", 'Maintenance Activities'!$A$2:$B$5, 2, FALSE) / 60</f>
        <v>0</v>
      </c>
      <c r="E192">
        <f>VLOOKUP(A192, 'Bike Stations'!$A$2:$B$255, 2, FALSE) * VLOOKUP("Annual", 'Maintenance Activities'!$A$2:$B$5, 2, FALSE) / 60</f>
        <v>0</v>
      </c>
      <c r="F192" s="5">
        <f t="shared" si="2"/>
        <v>0</v>
      </c>
    </row>
    <row r="193" spans="1:6" x14ac:dyDescent="0.35">
      <c r="A193" t="str">
        <f>'Bike Stations'!A193</f>
        <v>Drylaw Post Office</v>
      </c>
      <c r="B193">
        <f>VLOOKUP(A193, 'Bike Stations'!$A$2:$B193, 2, FALSE) * VLOOKUP("Weekly", 'Maintenance Activities'!$A$2:$B$5, 2, FALSE) /60</f>
        <v>0</v>
      </c>
      <c r="C193">
        <f>VLOOKUP(A193, 'Bike Stations'!$A$2:$B$255, 2, FALSE) * VLOOKUP("Monthly", 'Maintenance Activities'!$A$2:$B$5, 2, FALSE) /60</f>
        <v>0</v>
      </c>
      <c r="D193">
        <f>VLOOKUP(A193, 'Bike Stations'!$A$2:$B$255, 2, FALSE) * VLOOKUP("Biannual", 'Maintenance Activities'!$A$2:$B$5, 2, FALSE) / 60</f>
        <v>0</v>
      </c>
      <c r="E193">
        <f>VLOOKUP(A193, 'Bike Stations'!$A$2:$B$255, 2, FALSE) * VLOOKUP("Annual", 'Maintenance Activities'!$A$2:$B$5, 2, FALSE) / 60</f>
        <v>0</v>
      </c>
      <c r="F193" s="5">
        <f t="shared" si="2"/>
        <v>0</v>
      </c>
    </row>
    <row r="194" spans="1:6" x14ac:dyDescent="0.35">
      <c r="A194" t="str">
        <f>'Bike Stations'!A194</f>
        <v>University of Edinburgh Easter Bush</v>
      </c>
      <c r="B194">
        <f>VLOOKUP(A194, 'Bike Stations'!$A$2:$B194, 2, FALSE) * VLOOKUP("Weekly", 'Maintenance Activities'!$A$2:$B$5, 2, FALSE) /60</f>
        <v>0</v>
      </c>
      <c r="C194">
        <f>VLOOKUP(A194, 'Bike Stations'!$A$2:$B$255, 2, FALSE) * VLOOKUP("Monthly", 'Maintenance Activities'!$A$2:$B$5, 2, FALSE) /60</f>
        <v>0</v>
      </c>
      <c r="D194">
        <f>VLOOKUP(A194, 'Bike Stations'!$A$2:$B$255, 2, FALSE) * VLOOKUP("Biannual", 'Maintenance Activities'!$A$2:$B$5, 2, FALSE) / 60</f>
        <v>0</v>
      </c>
      <c r="E194">
        <f>VLOOKUP(A194, 'Bike Stations'!$A$2:$B$255, 2, FALSE) * VLOOKUP("Annual", 'Maintenance Activities'!$A$2:$B$5, 2, FALSE) / 60</f>
        <v>0</v>
      </c>
      <c r="F194" s="5">
        <f t="shared" si="2"/>
        <v>0</v>
      </c>
    </row>
    <row r="195" spans="1:6" x14ac:dyDescent="0.35">
      <c r="A195" t="str">
        <f>'Bike Stations'!A195</f>
        <v>Greenbank Drive</v>
      </c>
      <c r="B195">
        <f>VLOOKUP(A195, 'Bike Stations'!$A$2:$B195, 2, FALSE) * VLOOKUP("Weekly", 'Maintenance Activities'!$A$2:$B$5, 2, FALSE) /60</f>
        <v>0</v>
      </c>
      <c r="C195">
        <f>VLOOKUP(A195, 'Bike Stations'!$A$2:$B$255, 2, FALSE) * VLOOKUP("Monthly", 'Maintenance Activities'!$A$2:$B$5, 2, FALSE) /60</f>
        <v>0</v>
      </c>
      <c r="D195">
        <f>VLOOKUP(A195, 'Bike Stations'!$A$2:$B$255, 2, FALSE) * VLOOKUP("Biannual", 'Maintenance Activities'!$A$2:$B$5, 2, FALSE) / 60</f>
        <v>0</v>
      </c>
      <c r="E195">
        <f>VLOOKUP(A195, 'Bike Stations'!$A$2:$B$255, 2, FALSE) * VLOOKUP("Annual", 'Maintenance Activities'!$A$2:$B$5, 2, FALSE) / 60</f>
        <v>0</v>
      </c>
      <c r="F195" s="5">
        <f t="shared" si="2"/>
        <v>0</v>
      </c>
    </row>
    <row r="196" spans="1:6" x14ac:dyDescent="0.35">
      <c r="A196" t="str">
        <f>'Bike Stations'!A196</f>
        <v>Joppa</v>
      </c>
      <c r="B196">
        <f>VLOOKUP(A196, 'Bike Stations'!$A$2:$B196, 2, FALSE) * VLOOKUP("Weekly", 'Maintenance Activities'!$A$2:$B$5, 2, FALSE) /60</f>
        <v>0.83333333333333337</v>
      </c>
      <c r="C196">
        <f>VLOOKUP(A196, 'Bike Stations'!$A$2:$B$255, 2, FALSE) * VLOOKUP("Monthly", 'Maintenance Activities'!$A$2:$B$5, 2, FALSE) /60</f>
        <v>2.5</v>
      </c>
      <c r="D196">
        <f>VLOOKUP(A196, 'Bike Stations'!$A$2:$B$255, 2, FALSE) * VLOOKUP("Biannual", 'Maintenance Activities'!$A$2:$B$5, 2, FALSE) / 60</f>
        <v>5</v>
      </c>
      <c r="E196">
        <f>VLOOKUP(A196, 'Bike Stations'!$A$2:$B$255, 2, FALSE) * VLOOKUP("Annual", 'Maintenance Activities'!$A$2:$B$5, 2, FALSE) / 60</f>
        <v>10</v>
      </c>
      <c r="F196" s="5">
        <f t="shared" ref="F196:F251" si="3">B196 + C196 + D196 + E196</f>
        <v>18.333333333333336</v>
      </c>
    </row>
    <row r="197" spans="1:6" x14ac:dyDescent="0.35">
      <c r="A197" t="str">
        <f>'Bike Stations'!A197</f>
        <v>Dalkieth Road</v>
      </c>
      <c r="B197">
        <f>VLOOKUP(A197, 'Bike Stations'!$A$2:$B197, 2, FALSE) * VLOOKUP("Weekly", 'Maintenance Activities'!$A$2:$B$5, 2, FALSE) /60</f>
        <v>9.1666666666666661</v>
      </c>
      <c r="C197">
        <f>VLOOKUP(A197, 'Bike Stations'!$A$2:$B$255, 2, FALSE) * VLOOKUP("Monthly", 'Maintenance Activities'!$A$2:$B$5, 2, FALSE) /60</f>
        <v>27.5</v>
      </c>
      <c r="D197">
        <f>VLOOKUP(A197, 'Bike Stations'!$A$2:$B$255, 2, FALSE) * VLOOKUP("Biannual", 'Maintenance Activities'!$A$2:$B$5, 2, FALSE) / 60</f>
        <v>55</v>
      </c>
      <c r="E197">
        <f>VLOOKUP(A197, 'Bike Stations'!$A$2:$B$255, 2, FALSE) * VLOOKUP("Annual", 'Maintenance Activities'!$A$2:$B$5, 2, FALSE) / 60</f>
        <v>110</v>
      </c>
      <c r="F197" s="5">
        <f t="shared" si="3"/>
        <v>201.66666666666666</v>
      </c>
    </row>
    <row r="198" spans="1:6" x14ac:dyDescent="0.35">
      <c r="A198" t="str">
        <f>'Bike Stations'!A198</f>
        <v>East Trinity Road</v>
      </c>
      <c r="B198">
        <f>VLOOKUP(A198, 'Bike Stations'!$A$2:$B198, 2, FALSE) * VLOOKUP("Weekly", 'Maintenance Activities'!$A$2:$B$5, 2, FALSE) /60</f>
        <v>9.1666666666666661</v>
      </c>
      <c r="C198">
        <f>VLOOKUP(A198, 'Bike Stations'!$A$2:$B$255, 2, FALSE) * VLOOKUP("Monthly", 'Maintenance Activities'!$A$2:$B$5, 2, FALSE) /60</f>
        <v>27.5</v>
      </c>
      <c r="D198">
        <f>VLOOKUP(A198, 'Bike Stations'!$A$2:$B$255, 2, FALSE) * VLOOKUP("Biannual", 'Maintenance Activities'!$A$2:$B$5, 2, FALSE) / 60</f>
        <v>55</v>
      </c>
      <c r="E198">
        <f>VLOOKUP(A198, 'Bike Stations'!$A$2:$B$255, 2, FALSE) * VLOOKUP("Annual", 'Maintenance Activities'!$A$2:$B$5, 2, FALSE) / 60</f>
        <v>110</v>
      </c>
      <c r="F198" s="5">
        <f t="shared" si="3"/>
        <v>201.66666666666666</v>
      </c>
    </row>
    <row r="199" spans="1:6" x14ac:dyDescent="0.35">
      <c r="A199" t="str">
        <f>'Bike Stations'!A199</f>
        <v>St. Margaret's Park</v>
      </c>
      <c r="B199">
        <f>VLOOKUP(A199, 'Bike Stations'!$A$2:$B199, 2, FALSE) * VLOOKUP("Weekly", 'Maintenance Activities'!$A$2:$B$5, 2, FALSE) /60</f>
        <v>0.83333333333333337</v>
      </c>
      <c r="C199">
        <f>VLOOKUP(A199, 'Bike Stations'!$A$2:$B$255, 2, FALSE) * VLOOKUP("Monthly", 'Maintenance Activities'!$A$2:$B$5, 2, FALSE) /60</f>
        <v>2.5</v>
      </c>
      <c r="D199">
        <f>VLOOKUP(A199, 'Bike Stations'!$A$2:$B$255, 2, FALSE) * VLOOKUP("Biannual", 'Maintenance Activities'!$A$2:$B$5, 2, FALSE) / 60</f>
        <v>5</v>
      </c>
      <c r="E199">
        <f>VLOOKUP(A199, 'Bike Stations'!$A$2:$B$255, 2, FALSE) * VLOOKUP("Annual", 'Maintenance Activities'!$A$2:$B$5, 2, FALSE) / 60</f>
        <v>10</v>
      </c>
      <c r="F199" s="5">
        <f t="shared" si="3"/>
        <v>18.333333333333336</v>
      </c>
    </row>
    <row r="200" spans="1:6" x14ac:dyDescent="0.35">
      <c r="A200" t="str">
        <f>'Bike Stations'!A200</f>
        <v>Fraser Avenue</v>
      </c>
      <c r="B200">
        <f>VLOOKUP(A200, 'Bike Stations'!$A$2:$B200, 2, FALSE) * VLOOKUP("Weekly", 'Maintenance Activities'!$A$2:$B$5, 2, FALSE) /60</f>
        <v>0</v>
      </c>
      <c r="C200">
        <f>VLOOKUP(A200, 'Bike Stations'!$A$2:$B$255, 2, FALSE) * VLOOKUP("Monthly", 'Maintenance Activities'!$A$2:$B$5, 2, FALSE) /60</f>
        <v>0</v>
      </c>
      <c r="D200">
        <f>VLOOKUP(A200, 'Bike Stations'!$A$2:$B$255, 2, FALSE) * VLOOKUP("Biannual", 'Maintenance Activities'!$A$2:$B$5, 2, FALSE) / 60</f>
        <v>0</v>
      </c>
      <c r="E200">
        <f>VLOOKUP(A200, 'Bike Stations'!$A$2:$B$255, 2, FALSE) * VLOOKUP("Annual", 'Maintenance Activities'!$A$2:$B$5, 2, FALSE) / 60</f>
        <v>0</v>
      </c>
      <c r="F200" s="5">
        <f t="shared" si="3"/>
        <v>0</v>
      </c>
    </row>
    <row r="201" spans="1:6" x14ac:dyDescent="0.35">
      <c r="A201" t="str">
        <f>'Bike Stations'!A201</f>
        <v>Currie Primary School</v>
      </c>
      <c r="B201">
        <f>VLOOKUP(A201, 'Bike Stations'!$A$2:$B201, 2, FALSE) * VLOOKUP("Weekly", 'Maintenance Activities'!$A$2:$B$5, 2, FALSE) /60</f>
        <v>0.83333333333333337</v>
      </c>
      <c r="C201">
        <f>VLOOKUP(A201, 'Bike Stations'!$A$2:$B$255, 2, FALSE) * VLOOKUP("Monthly", 'Maintenance Activities'!$A$2:$B$5, 2, FALSE) /60</f>
        <v>2.5</v>
      </c>
      <c r="D201">
        <f>VLOOKUP(A201, 'Bike Stations'!$A$2:$B$255, 2, FALSE) * VLOOKUP("Biannual", 'Maintenance Activities'!$A$2:$B$5, 2, FALSE) / 60</f>
        <v>5</v>
      </c>
      <c r="E201">
        <f>VLOOKUP(A201, 'Bike Stations'!$A$2:$B$255, 2, FALSE) * VLOOKUP("Annual", 'Maintenance Activities'!$A$2:$B$5, 2, FALSE) / 60</f>
        <v>10</v>
      </c>
      <c r="F201" s="5">
        <f t="shared" si="3"/>
        <v>18.333333333333336</v>
      </c>
    </row>
    <row r="202" spans="1:6" x14ac:dyDescent="0.35">
      <c r="A202" t="str">
        <f>'Bike Stations'!A202</f>
        <v>Burnshot Flyover</v>
      </c>
      <c r="B202">
        <f>VLOOKUP(A202, 'Bike Stations'!$A$2:$B202, 2, FALSE) * VLOOKUP("Weekly", 'Maintenance Activities'!$A$2:$B$5, 2, FALSE) /60</f>
        <v>0</v>
      </c>
      <c r="C202">
        <f>VLOOKUP(A202, 'Bike Stations'!$A$2:$B$255, 2, FALSE) * VLOOKUP("Monthly", 'Maintenance Activities'!$A$2:$B$5, 2, FALSE) /60</f>
        <v>0</v>
      </c>
      <c r="D202">
        <f>VLOOKUP(A202, 'Bike Stations'!$A$2:$B$255, 2, FALSE) * VLOOKUP("Biannual", 'Maintenance Activities'!$A$2:$B$5, 2, FALSE) / 60</f>
        <v>0</v>
      </c>
      <c r="E202">
        <f>VLOOKUP(A202, 'Bike Stations'!$A$2:$B$255, 2, FALSE) * VLOOKUP("Annual", 'Maintenance Activities'!$A$2:$B$5, 2, FALSE) / 60</f>
        <v>0</v>
      </c>
      <c r="F202" s="5">
        <f t="shared" si="3"/>
        <v>0</v>
      </c>
    </row>
    <row r="203" spans="1:6" x14ac:dyDescent="0.35">
      <c r="A203" t="str">
        <f>'Bike Stations'!A203</f>
        <v>Ladysmith Road</v>
      </c>
      <c r="B203">
        <f>VLOOKUP(A203, 'Bike Stations'!$A$2:$B203, 2, FALSE) * VLOOKUP("Weekly", 'Maintenance Activities'!$A$2:$B$5, 2, FALSE) /60</f>
        <v>0</v>
      </c>
      <c r="C203">
        <f>VLOOKUP(A203, 'Bike Stations'!$A$2:$B$255, 2, FALSE) * VLOOKUP("Monthly", 'Maintenance Activities'!$A$2:$B$5, 2, FALSE) /60</f>
        <v>0</v>
      </c>
      <c r="D203">
        <f>VLOOKUP(A203, 'Bike Stations'!$A$2:$B$255, 2, FALSE) * VLOOKUP("Biannual", 'Maintenance Activities'!$A$2:$B$5, 2, FALSE) / 60</f>
        <v>0</v>
      </c>
      <c r="E203">
        <f>VLOOKUP(A203, 'Bike Stations'!$A$2:$B$255, 2, FALSE) * VLOOKUP("Annual", 'Maintenance Activities'!$A$2:$B$5, 2, FALSE) / 60</f>
        <v>0</v>
      </c>
      <c r="F203" s="5">
        <f t="shared" si="3"/>
        <v>0</v>
      </c>
    </row>
    <row r="204" spans="1:6" x14ac:dyDescent="0.35">
      <c r="A204" t="str">
        <f>'Bike Stations'!A204</f>
        <v>Gyle Square</v>
      </c>
      <c r="B204">
        <f>VLOOKUP(A204, 'Bike Stations'!$A$2:$B204, 2, FALSE) * VLOOKUP("Weekly", 'Maintenance Activities'!$A$2:$B$5, 2, FALSE) /60</f>
        <v>9.1666666666666661</v>
      </c>
      <c r="C204">
        <f>VLOOKUP(A204, 'Bike Stations'!$A$2:$B$255, 2, FALSE) * VLOOKUP("Monthly", 'Maintenance Activities'!$A$2:$B$5, 2, FALSE) /60</f>
        <v>27.5</v>
      </c>
      <c r="D204">
        <f>VLOOKUP(A204, 'Bike Stations'!$A$2:$B$255, 2, FALSE) * VLOOKUP("Biannual", 'Maintenance Activities'!$A$2:$B$5, 2, FALSE) / 60</f>
        <v>55</v>
      </c>
      <c r="E204">
        <f>VLOOKUP(A204, 'Bike Stations'!$A$2:$B$255, 2, FALSE) * VLOOKUP("Annual", 'Maintenance Activities'!$A$2:$B$5, 2, FALSE) / 60</f>
        <v>110</v>
      </c>
      <c r="F204" s="5">
        <f t="shared" si="3"/>
        <v>201.66666666666666</v>
      </c>
    </row>
    <row r="205" spans="1:6" x14ac:dyDescent="0.35">
      <c r="A205" t="str">
        <f>'Bike Stations'!A205</f>
        <v>Constitution Street</v>
      </c>
      <c r="B205">
        <f>VLOOKUP(A205, 'Bike Stations'!$A$2:$B205, 2, FALSE) * VLOOKUP("Weekly", 'Maintenance Activities'!$A$2:$B$5, 2, FALSE) /60</f>
        <v>0</v>
      </c>
      <c r="C205">
        <f>VLOOKUP(A205, 'Bike Stations'!$A$2:$B$255, 2, FALSE) * VLOOKUP("Monthly", 'Maintenance Activities'!$A$2:$B$5, 2, FALSE) /60</f>
        <v>0</v>
      </c>
      <c r="D205">
        <f>VLOOKUP(A205, 'Bike Stations'!$A$2:$B$255, 2, FALSE) * VLOOKUP("Biannual", 'Maintenance Activities'!$A$2:$B$5, 2, FALSE) / 60</f>
        <v>0</v>
      </c>
      <c r="E205">
        <f>VLOOKUP(A205, 'Bike Stations'!$A$2:$B$255, 2, FALSE) * VLOOKUP("Annual", 'Maintenance Activities'!$A$2:$B$5, 2, FALSE) / 60</f>
        <v>0</v>
      </c>
      <c r="F205" s="5">
        <f t="shared" si="3"/>
        <v>0</v>
      </c>
    </row>
    <row r="206" spans="1:6" x14ac:dyDescent="0.35">
      <c r="A206" t="str">
        <f>'Bike Stations'!A206</f>
        <v>Newbattle Community Campus</v>
      </c>
      <c r="B206">
        <f>VLOOKUP(A206, 'Bike Stations'!$A$2:$B206, 2, FALSE) * VLOOKUP("Weekly", 'Maintenance Activities'!$A$2:$B$5, 2, FALSE) /60</f>
        <v>0</v>
      </c>
      <c r="C206">
        <f>VLOOKUP(A206, 'Bike Stations'!$A$2:$B$255, 2, FALSE) * VLOOKUP("Monthly", 'Maintenance Activities'!$A$2:$B$5, 2, FALSE) /60</f>
        <v>0</v>
      </c>
      <c r="D206">
        <f>VLOOKUP(A206, 'Bike Stations'!$A$2:$B$255, 2, FALSE) * VLOOKUP("Biannual", 'Maintenance Activities'!$A$2:$B$5, 2, FALSE) / 60</f>
        <v>0</v>
      </c>
      <c r="E206">
        <f>VLOOKUP(A206, 'Bike Stations'!$A$2:$B$255, 2, FALSE) * VLOOKUP("Annual", 'Maintenance Activities'!$A$2:$B$5, 2, FALSE) / 60</f>
        <v>0</v>
      </c>
      <c r="F206" s="5">
        <f t="shared" si="3"/>
        <v>0</v>
      </c>
    </row>
    <row r="207" spans="1:6" x14ac:dyDescent="0.35">
      <c r="A207" t="str">
        <f>'Bike Stations'!A207</f>
        <v>Holyrood High School</v>
      </c>
      <c r="B207">
        <f>VLOOKUP(A207, 'Bike Stations'!$A$2:$B207, 2, FALSE) * VLOOKUP("Weekly", 'Maintenance Activities'!$A$2:$B$5, 2, FALSE) /60</f>
        <v>0</v>
      </c>
      <c r="C207">
        <f>VLOOKUP(A207, 'Bike Stations'!$A$2:$B$255, 2, FALSE) * VLOOKUP("Monthly", 'Maintenance Activities'!$A$2:$B$5, 2, FALSE) /60</f>
        <v>0</v>
      </c>
      <c r="D207">
        <f>VLOOKUP(A207, 'Bike Stations'!$A$2:$B$255, 2, FALSE) * VLOOKUP("Biannual", 'Maintenance Activities'!$A$2:$B$5, 2, FALSE) / 60</f>
        <v>0</v>
      </c>
      <c r="E207">
        <f>VLOOKUP(A207, 'Bike Stations'!$A$2:$B$255, 2, FALSE) * VLOOKUP("Annual", 'Maintenance Activities'!$A$2:$B$5, 2, FALSE) / 60</f>
        <v>0</v>
      </c>
      <c r="F207" s="5">
        <f t="shared" si="3"/>
        <v>0</v>
      </c>
    </row>
    <row r="208" spans="1:6" x14ac:dyDescent="0.35">
      <c r="A208" t="str">
        <f>'Bike Stations'!A208</f>
        <v>Melville Dykes Road</v>
      </c>
      <c r="B208">
        <f>VLOOKUP(A208, 'Bike Stations'!$A$2:$B208, 2, FALSE) * VLOOKUP("Weekly", 'Maintenance Activities'!$A$2:$B$5, 2, FALSE) /60</f>
        <v>0</v>
      </c>
      <c r="C208">
        <f>VLOOKUP(A208, 'Bike Stations'!$A$2:$B$255, 2, FALSE) * VLOOKUP("Monthly", 'Maintenance Activities'!$A$2:$B$5, 2, FALSE) /60</f>
        <v>0</v>
      </c>
      <c r="D208">
        <f>VLOOKUP(A208, 'Bike Stations'!$A$2:$B$255, 2, FALSE) * VLOOKUP("Biannual", 'Maintenance Activities'!$A$2:$B$5, 2, FALSE) / 60</f>
        <v>0</v>
      </c>
      <c r="E208">
        <f>VLOOKUP(A208, 'Bike Stations'!$A$2:$B$255, 2, FALSE) * VLOOKUP("Annual", 'Maintenance Activities'!$A$2:$B$5, 2, FALSE) / 60</f>
        <v>0</v>
      </c>
      <c r="F208" s="5">
        <f t="shared" si="3"/>
        <v>0</v>
      </c>
    </row>
    <row r="209" spans="1:6" x14ac:dyDescent="0.35">
      <c r="A209" t="str">
        <f>'Bike Stations'!A209</f>
        <v>Broughton High School</v>
      </c>
      <c r="B209">
        <f>VLOOKUP(A209, 'Bike Stations'!$A$2:$B209, 2, FALSE) * VLOOKUP("Weekly", 'Maintenance Activities'!$A$2:$B$5, 2, FALSE) /60</f>
        <v>9.1666666666664334</v>
      </c>
      <c r="C209">
        <f>VLOOKUP(A209, 'Bike Stations'!$A$2:$B$255, 2, FALSE) * VLOOKUP("Monthly", 'Maintenance Activities'!$A$2:$B$5, 2, FALSE) /60</f>
        <v>27.4999999999993</v>
      </c>
      <c r="D209">
        <f>VLOOKUP(A209, 'Bike Stations'!$A$2:$B$255, 2, FALSE) * VLOOKUP("Biannual", 'Maintenance Activities'!$A$2:$B$5, 2, FALSE) / 60</f>
        <v>54.9999999999986</v>
      </c>
      <c r="E209">
        <f>VLOOKUP(A209, 'Bike Stations'!$A$2:$B$255, 2, FALSE) * VLOOKUP("Annual", 'Maintenance Activities'!$A$2:$B$5, 2, FALSE) / 60</f>
        <v>109.9999999999972</v>
      </c>
      <c r="F209" s="5">
        <f t="shared" si="3"/>
        <v>201.66666666666151</v>
      </c>
    </row>
    <row r="210" spans="1:6" x14ac:dyDescent="0.35">
      <c r="A210" t="str">
        <f>'Bike Stations'!A210</f>
        <v>Orchard Road</v>
      </c>
      <c r="B210">
        <f>VLOOKUP(A210, 'Bike Stations'!$A$2:$B210, 2, FALSE) * VLOOKUP("Weekly", 'Maintenance Activities'!$A$2:$B$5, 2, FALSE) /60</f>
        <v>0</v>
      </c>
      <c r="C210">
        <f>VLOOKUP(A210, 'Bike Stations'!$A$2:$B$255, 2, FALSE) * VLOOKUP("Monthly", 'Maintenance Activities'!$A$2:$B$5, 2, FALSE) /60</f>
        <v>0</v>
      </c>
      <c r="D210">
        <f>VLOOKUP(A210, 'Bike Stations'!$A$2:$B$255, 2, FALSE) * VLOOKUP("Biannual", 'Maintenance Activities'!$A$2:$B$5, 2, FALSE) / 60</f>
        <v>0</v>
      </c>
      <c r="E210">
        <f>VLOOKUP(A210, 'Bike Stations'!$A$2:$B$255, 2, FALSE) * VLOOKUP("Annual", 'Maintenance Activities'!$A$2:$B$5, 2, FALSE) / 60</f>
        <v>0</v>
      </c>
      <c r="F210" s="5">
        <f t="shared" si="3"/>
        <v>0</v>
      </c>
    </row>
    <row r="211" spans="1:6" x14ac:dyDescent="0.35">
      <c r="A211" t="str">
        <f>'Bike Stations'!A211</f>
        <v>St. Mary's Music School</v>
      </c>
      <c r="B211">
        <f>VLOOKUP(A211, 'Bike Stations'!$A$2:$B211, 2, FALSE) * VLOOKUP("Weekly", 'Maintenance Activities'!$A$2:$B$5, 2, FALSE) /60</f>
        <v>9.1666666666666661</v>
      </c>
      <c r="C211">
        <f>VLOOKUP(A211, 'Bike Stations'!$A$2:$B$255, 2, FALSE) * VLOOKUP("Monthly", 'Maintenance Activities'!$A$2:$B$5, 2, FALSE) /60</f>
        <v>27.5</v>
      </c>
      <c r="D211">
        <f>VLOOKUP(A211, 'Bike Stations'!$A$2:$B$255, 2, FALSE) * VLOOKUP("Biannual", 'Maintenance Activities'!$A$2:$B$5, 2, FALSE) / 60</f>
        <v>55</v>
      </c>
      <c r="E211">
        <f>VLOOKUP(A211, 'Bike Stations'!$A$2:$B$255, 2, FALSE) * VLOOKUP("Annual", 'Maintenance Activities'!$A$2:$B$5, 2, FALSE) / 60</f>
        <v>110</v>
      </c>
      <c r="F211" s="5">
        <f t="shared" si="3"/>
        <v>201.66666666666666</v>
      </c>
    </row>
    <row r="212" spans="1:6" x14ac:dyDescent="0.35">
      <c r="A212" t="str">
        <f>'Bike Stations'!A212</f>
        <v>Craigmillar Shopping Centre</v>
      </c>
      <c r="B212">
        <f>VLOOKUP(A212, 'Bike Stations'!$A$2:$B212, 2, FALSE) * VLOOKUP("Weekly", 'Maintenance Activities'!$A$2:$B$5, 2, FALSE) /60</f>
        <v>0</v>
      </c>
      <c r="C212">
        <f>VLOOKUP(A212, 'Bike Stations'!$A$2:$B$255, 2, FALSE) * VLOOKUP("Monthly", 'Maintenance Activities'!$A$2:$B$5, 2, FALSE) /60</f>
        <v>0</v>
      </c>
      <c r="D212">
        <f>VLOOKUP(A212, 'Bike Stations'!$A$2:$B$255, 2, FALSE) * VLOOKUP("Biannual", 'Maintenance Activities'!$A$2:$B$5, 2, FALSE) / 60</f>
        <v>0</v>
      </c>
      <c r="E212">
        <f>VLOOKUP(A212, 'Bike Stations'!$A$2:$B$255, 2, FALSE) * VLOOKUP("Annual", 'Maintenance Activities'!$A$2:$B$5, 2, FALSE) / 60</f>
        <v>0</v>
      </c>
      <c r="F212" s="5">
        <f t="shared" si="3"/>
        <v>0</v>
      </c>
    </row>
    <row r="213" spans="1:6" x14ac:dyDescent="0.35">
      <c r="A213" t="str">
        <f>'Bike Stations'!A213</f>
        <v>Ferryfield</v>
      </c>
      <c r="B213">
        <f>VLOOKUP(A213, 'Bike Stations'!$A$2:$B213, 2, FALSE) * VLOOKUP("Weekly", 'Maintenance Activities'!$A$2:$B$5, 2, FALSE) /60</f>
        <v>0.83333333333333337</v>
      </c>
      <c r="C213">
        <f>VLOOKUP(A213, 'Bike Stations'!$A$2:$B$255, 2, FALSE) * VLOOKUP("Monthly", 'Maintenance Activities'!$A$2:$B$5, 2, FALSE) /60</f>
        <v>2.5</v>
      </c>
      <c r="D213">
        <f>VLOOKUP(A213, 'Bike Stations'!$A$2:$B$255, 2, FALSE) * VLOOKUP("Biannual", 'Maintenance Activities'!$A$2:$B$5, 2, FALSE) / 60</f>
        <v>5</v>
      </c>
      <c r="E213">
        <f>VLOOKUP(A213, 'Bike Stations'!$A$2:$B$255, 2, FALSE) * VLOOKUP("Annual", 'Maintenance Activities'!$A$2:$B$5, 2, FALSE) / 60</f>
        <v>10</v>
      </c>
      <c r="F213" s="5">
        <f t="shared" si="3"/>
        <v>18.333333333333336</v>
      </c>
    </row>
    <row r="214" spans="1:6" x14ac:dyDescent="0.35">
      <c r="A214" t="str">
        <f>'Bike Stations'!A214</f>
        <v>Carrick Knowe Gardens</v>
      </c>
      <c r="B214">
        <f>VLOOKUP(A214, 'Bike Stations'!$A$2:$B214, 2, FALSE) * VLOOKUP("Weekly", 'Maintenance Activities'!$A$2:$B$5, 2, FALSE) /60</f>
        <v>0</v>
      </c>
      <c r="C214">
        <f>VLOOKUP(A214, 'Bike Stations'!$A$2:$B$255, 2, FALSE) * VLOOKUP("Monthly", 'Maintenance Activities'!$A$2:$B$5, 2, FALSE) /60</f>
        <v>0</v>
      </c>
      <c r="D214">
        <f>VLOOKUP(A214, 'Bike Stations'!$A$2:$B$255, 2, FALSE) * VLOOKUP("Biannual", 'Maintenance Activities'!$A$2:$B$5, 2, FALSE) / 60</f>
        <v>0</v>
      </c>
      <c r="E214">
        <f>VLOOKUP(A214, 'Bike Stations'!$A$2:$B$255, 2, FALSE) * VLOOKUP("Annual", 'Maintenance Activities'!$A$2:$B$5, 2, FALSE) / 60</f>
        <v>0</v>
      </c>
      <c r="F214" s="5">
        <f t="shared" si="3"/>
        <v>0</v>
      </c>
    </row>
    <row r="215" spans="1:6" x14ac:dyDescent="0.35">
      <c r="A215" t="str">
        <f>'Bike Stations'!A215</f>
        <v>Hermitage Gardens</v>
      </c>
      <c r="B215">
        <f>VLOOKUP(A215, 'Bike Stations'!$A$2:$B215, 2, FALSE) * VLOOKUP("Weekly", 'Maintenance Activities'!$A$2:$B$5, 2, FALSE) /60</f>
        <v>0</v>
      </c>
      <c r="C215">
        <f>VLOOKUP(A215, 'Bike Stations'!$A$2:$B$255, 2, FALSE) * VLOOKUP("Monthly", 'Maintenance Activities'!$A$2:$B$5, 2, FALSE) /60</f>
        <v>0</v>
      </c>
      <c r="D215">
        <f>VLOOKUP(A215, 'Bike Stations'!$A$2:$B$255, 2, FALSE) * VLOOKUP("Biannual", 'Maintenance Activities'!$A$2:$B$5, 2, FALSE) / 60</f>
        <v>0</v>
      </c>
      <c r="E215">
        <f>VLOOKUP(A215, 'Bike Stations'!$A$2:$B$255, 2, FALSE) * VLOOKUP("Annual", 'Maintenance Activities'!$A$2:$B$5, 2, FALSE) / 60</f>
        <v>0</v>
      </c>
      <c r="F215" s="5">
        <f t="shared" si="3"/>
        <v>0</v>
      </c>
    </row>
    <row r="216" spans="1:6" x14ac:dyDescent="0.35">
      <c r="A216" t="str">
        <f>'Bike Stations'!A216</f>
        <v>St. Albans Road</v>
      </c>
      <c r="B216">
        <f>VLOOKUP(A216, 'Bike Stations'!$A$2:$B216, 2, FALSE) * VLOOKUP("Weekly", 'Maintenance Activities'!$A$2:$B$5, 2, FALSE) /60</f>
        <v>0.83333333333333337</v>
      </c>
      <c r="C216">
        <f>VLOOKUP(A216, 'Bike Stations'!$A$2:$B$255, 2, FALSE) * VLOOKUP("Monthly", 'Maintenance Activities'!$A$2:$B$5, 2, FALSE) /60</f>
        <v>2.5</v>
      </c>
      <c r="D216">
        <f>VLOOKUP(A216, 'Bike Stations'!$A$2:$B$255, 2, FALSE) * VLOOKUP("Biannual", 'Maintenance Activities'!$A$2:$B$5, 2, FALSE) / 60</f>
        <v>5</v>
      </c>
      <c r="E216">
        <f>VLOOKUP(A216, 'Bike Stations'!$A$2:$B$255, 2, FALSE) * VLOOKUP("Annual", 'Maintenance Activities'!$A$2:$B$5, 2, FALSE) / 60</f>
        <v>10</v>
      </c>
      <c r="F216" s="5">
        <f t="shared" si="3"/>
        <v>18.333333333333336</v>
      </c>
    </row>
    <row r="217" spans="1:6" x14ac:dyDescent="0.35">
      <c r="A217" t="str">
        <f>'Bike Stations'!A217</f>
        <v>Inverleith Row</v>
      </c>
      <c r="B217">
        <f>VLOOKUP(A217, 'Bike Stations'!$A$2:$B217, 2, FALSE) * VLOOKUP("Weekly", 'Maintenance Activities'!$A$2:$B$5, 2, FALSE) /60</f>
        <v>0</v>
      </c>
      <c r="C217">
        <f>VLOOKUP(A217, 'Bike Stations'!$A$2:$B$255, 2, FALSE) * VLOOKUP("Monthly", 'Maintenance Activities'!$A$2:$B$5, 2, FALSE) /60</f>
        <v>0</v>
      </c>
      <c r="D217">
        <f>VLOOKUP(A217, 'Bike Stations'!$A$2:$B$255, 2, FALSE) * VLOOKUP("Biannual", 'Maintenance Activities'!$A$2:$B$5, 2, FALSE) / 60</f>
        <v>0</v>
      </c>
      <c r="E217">
        <f>VLOOKUP(A217, 'Bike Stations'!$A$2:$B$255, 2, FALSE) * VLOOKUP("Annual", 'Maintenance Activities'!$A$2:$B$5, 2, FALSE) / 60</f>
        <v>0</v>
      </c>
      <c r="F217" s="5">
        <f t="shared" si="3"/>
        <v>0</v>
      </c>
    </row>
    <row r="218" spans="1:6" x14ac:dyDescent="0.35">
      <c r="A218" t="str">
        <f>'Bike Stations'!A218</f>
        <v>Murrayfield Gardens</v>
      </c>
      <c r="B218">
        <f>VLOOKUP(A218, 'Bike Stations'!$A$2:$B218, 2, FALSE) * VLOOKUP("Weekly", 'Maintenance Activities'!$A$2:$B$5, 2, FALSE) /60</f>
        <v>0.83333333333333337</v>
      </c>
      <c r="C218">
        <f>VLOOKUP(A218, 'Bike Stations'!$A$2:$B$255, 2, FALSE) * VLOOKUP("Monthly", 'Maintenance Activities'!$A$2:$B$5, 2, FALSE) /60</f>
        <v>2.5</v>
      </c>
      <c r="D218">
        <f>VLOOKUP(A218, 'Bike Stations'!$A$2:$B$255, 2, FALSE) * VLOOKUP("Biannual", 'Maintenance Activities'!$A$2:$B$5, 2, FALSE) / 60</f>
        <v>5</v>
      </c>
      <c r="E218">
        <f>VLOOKUP(A218, 'Bike Stations'!$A$2:$B$255, 2, FALSE) * VLOOKUP("Annual", 'Maintenance Activities'!$A$2:$B$5, 2, FALSE) / 60</f>
        <v>10</v>
      </c>
      <c r="F218" s="5">
        <f t="shared" si="3"/>
        <v>18.333333333333336</v>
      </c>
    </row>
    <row r="219" spans="1:6" x14ac:dyDescent="0.35">
      <c r="A219" t="str">
        <f>'Bike Stations'!A219</f>
        <v>West Fairbrae Crescent</v>
      </c>
      <c r="B219">
        <f>VLOOKUP(A219, 'Bike Stations'!$A$2:$B219, 2, FALSE) * VLOOKUP("Weekly", 'Maintenance Activities'!$A$2:$B$5, 2, FALSE) /60</f>
        <v>0</v>
      </c>
      <c r="C219">
        <f>VLOOKUP(A219, 'Bike Stations'!$A$2:$B$255, 2, FALSE) * VLOOKUP("Monthly", 'Maintenance Activities'!$A$2:$B$5, 2, FALSE) /60</f>
        <v>0</v>
      </c>
      <c r="D219">
        <f>VLOOKUP(A219, 'Bike Stations'!$A$2:$B$255, 2, FALSE) * VLOOKUP("Biannual", 'Maintenance Activities'!$A$2:$B$5, 2, FALSE) / 60</f>
        <v>0</v>
      </c>
      <c r="E219">
        <f>VLOOKUP(A219, 'Bike Stations'!$A$2:$B$255, 2, FALSE) * VLOOKUP("Annual", 'Maintenance Activities'!$A$2:$B$5, 2, FALSE) / 60</f>
        <v>0</v>
      </c>
      <c r="F219" s="5">
        <f t="shared" si="3"/>
        <v>0</v>
      </c>
    </row>
    <row r="220" spans="1:6" x14ac:dyDescent="0.35">
      <c r="A220" t="str">
        <f>'Bike Stations'!A220</f>
        <v>Urban Union Main Park</v>
      </c>
      <c r="B220">
        <f>VLOOKUP(A220, 'Bike Stations'!$A$2:$B220, 2, FALSE) * VLOOKUP("Weekly", 'Maintenance Activities'!$A$2:$B$5, 2, FALSE) /60</f>
        <v>0</v>
      </c>
      <c r="C220">
        <f>VLOOKUP(A220, 'Bike Stations'!$A$2:$B$255, 2, FALSE) * VLOOKUP("Monthly", 'Maintenance Activities'!$A$2:$B$5, 2, FALSE) /60</f>
        <v>0</v>
      </c>
      <c r="D220">
        <f>VLOOKUP(A220, 'Bike Stations'!$A$2:$B$255, 2, FALSE) * VLOOKUP("Biannual", 'Maintenance Activities'!$A$2:$B$5, 2, FALSE) / 60</f>
        <v>0</v>
      </c>
      <c r="E220">
        <f>VLOOKUP(A220, 'Bike Stations'!$A$2:$B$255, 2, FALSE) * VLOOKUP("Annual", 'Maintenance Activities'!$A$2:$B$5, 2, FALSE) / 60</f>
        <v>0</v>
      </c>
      <c r="F220" s="5">
        <f t="shared" si="3"/>
        <v>0</v>
      </c>
    </row>
    <row r="221" spans="1:6" x14ac:dyDescent="0.35">
      <c r="A221" t="str">
        <f>'Bike Stations'!A221</f>
        <v>Belmont Drive</v>
      </c>
      <c r="B221">
        <f>VLOOKUP(A221, 'Bike Stations'!$A$2:$B221, 2, FALSE) * VLOOKUP("Weekly", 'Maintenance Activities'!$A$2:$B$5, 2, FALSE) /60</f>
        <v>0.83333333333333337</v>
      </c>
      <c r="C221">
        <f>VLOOKUP(A221, 'Bike Stations'!$A$2:$B$255, 2, FALSE) * VLOOKUP("Monthly", 'Maintenance Activities'!$A$2:$B$5, 2, FALSE) /60</f>
        <v>2.5</v>
      </c>
      <c r="D221">
        <f>VLOOKUP(A221, 'Bike Stations'!$A$2:$B$255, 2, FALSE) * VLOOKUP("Biannual", 'Maintenance Activities'!$A$2:$B$5, 2, FALSE) / 60</f>
        <v>5</v>
      </c>
      <c r="E221">
        <f>VLOOKUP(A221, 'Bike Stations'!$A$2:$B$255, 2, FALSE) * VLOOKUP("Annual", 'Maintenance Activities'!$A$2:$B$5, 2, FALSE) / 60</f>
        <v>10</v>
      </c>
      <c r="F221" s="5">
        <f t="shared" si="3"/>
        <v>18.333333333333336</v>
      </c>
    </row>
    <row r="222" spans="1:6" x14ac:dyDescent="0.35">
      <c r="A222" t="str">
        <f>'Bike Stations'!A222</f>
        <v>Currievale Park</v>
      </c>
      <c r="B222">
        <f>VLOOKUP(A222, 'Bike Stations'!$A$2:$B222, 2, FALSE) * VLOOKUP("Weekly", 'Maintenance Activities'!$A$2:$B$5, 2, FALSE) /60</f>
        <v>0.83333333333333337</v>
      </c>
      <c r="C222">
        <f>VLOOKUP(A222, 'Bike Stations'!$A$2:$B$255, 2, FALSE) * VLOOKUP("Monthly", 'Maintenance Activities'!$A$2:$B$5, 2, FALSE) /60</f>
        <v>2.5</v>
      </c>
      <c r="D222">
        <f>VLOOKUP(A222, 'Bike Stations'!$A$2:$B$255, 2, FALSE) * VLOOKUP("Biannual", 'Maintenance Activities'!$A$2:$B$5, 2, FALSE) / 60</f>
        <v>5</v>
      </c>
      <c r="E222">
        <f>VLOOKUP(A222, 'Bike Stations'!$A$2:$B$255, 2, FALSE) * VLOOKUP("Annual", 'Maintenance Activities'!$A$2:$B$5, 2, FALSE) / 60</f>
        <v>10</v>
      </c>
      <c r="F222" s="5">
        <f t="shared" si="3"/>
        <v>18.333333333333336</v>
      </c>
    </row>
    <row r="223" spans="1:6" x14ac:dyDescent="0.35">
      <c r="A223" t="str">
        <f>'Bike Stations'!A223</f>
        <v>Bruntsfield Place</v>
      </c>
      <c r="B223">
        <f>VLOOKUP(A223, 'Bike Stations'!$A$2:$B223, 2, FALSE) * VLOOKUP("Weekly", 'Maintenance Activities'!$A$2:$B$5, 2, FALSE) /60</f>
        <v>0</v>
      </c>
      <c r="C223">
        <f>VLOOKUP(A223, 'Bike Stations'!$A$2:$B$255, 2, FALSE) * VLOOKUP("Monthly", 'Maintenance Activities'!$A$2:$B$5, 2, FALSE) /60</f>
        <v>0</v>
      </c>
      <c r="D223">
        <f>VLOOKUP(A223, 'Bike Stations'!$A$2:$B$255, 2, FALSE) * VLOOKUP("Biannual", 'Maintenance Activities'!$A$2:$B$5, 2, FALSE) / 60</f>
        <v>0</v>
      </c>
      <c r="E223">
        <f>VLOOKUP(A223, 'Bike Stations'!$A$2:$B$255, 2, FALSE) * VLOOKUP("Annual", 'Maintenance Activities'!$A$2:$B$5, 2, FALSE) / 60</f>
        <v>0</v>
      </c>
      <c r="F223" s="5">
        <f t="shared" si="3"/>
        <v>0</v>
      </c>
    </row>
    <row r="224" spans="1:6" x14ac:dyDescent="0.35">
      <c r="A224" t="str">
        <f>'Bike Stations'!A224</f>
        <v>Campbell Road</v>
      </c>
      <c r="B224">
        <f>VLOOKUP(A224, 'Bike Stations'!$A$2:$B224, 2, FALSE) * VLOOKUP("Weekly", 'Maintenance Activities'!$A$2:$B$5, 2, FALSE) /60</f>
        <v>0</v>
      </c>
      <c r="C224">
        <f>VLOOKUP(A224, 'Bike Stations'!$A$2:$B$255, 2, FALSE) * VLOOKUP("Monthly", 'Maintenance Activities'!$A$2:$B$5, 2, FALSE) /60</f>
        <v>0</v>
      </c>
      <c r="D224">
        <f>VLOOKUP(A224, 'Bike Stations'!$A$2:$B$255, 2, FALSE) * VLOOKUP("Biannual", 'Maintenance Activities'!$A$2:$B$5, 2, FALSE) / 60</f>
        <v>0</v>
      </c>
      <c r="E224">
        <f>VLOOKUP(A224, 'Bike Stations'!$A$2:$B$255, 2, FALSE) * VLOOKUP("Annual", 'Maintenance Activities'!$A$2:$B$5, 2, FALSE) / 60</f>
        <v>0</v>
      </c>
      <c r="F224" s="5">
        <f t="shared" si="3"/>
        <v>0</v>
      </c>
    </row>
    <row r="225" spans="1:6" x14ac:dyDescent="0.35">
      <c r="A225" t="str">
        <f>'Bike Stations'!A225</f>
        <v>Seafield Road</v>
      </c>
      <c r="B225">
        <f>VLOOKUP(A225, 'Bike Stations'!$A$2:$B225, 2, FALSE) * VLOOKUP("Weekly", 'Maintenance Activities'!$A$2:$B$5, 2, FALSE) /60</f>
        <v>0.83333333333333337</v>
      </c>
      <c r="C225">
        <f>VLOOKUP(A225, 'Bike Stations'!$A$2:$B$255, 2, FALSE) * VLOOKUP("Monthly", 'Maintenance Activities'!$A$2:$B$5, 2, FALSE) /60</f>
        <v>2.5</v>
      </c>
      <c r="D225">
        <f>VLOOKUP(A225, 'Bike Stations'!$A$2:$B$255, 2, FALSE) * VLOOKUP("Biannual", 'Maintenance Activities'!$A$2:$B$5, 2, FALSE) / 60</f>
        <v>5</v>
      </c>
      <c r="E225">
        <f>VLOOKUP(A225, 'Bike Stations'!$A$2:$B$255, 2, FALSE) * VLOOKUP("Annual", 'Maintenance Activities'!$A$2:$B$5, 2, FALSE) / 60</f>
        <v>10</v>
      </c>
      <c r="F225" s="5">
        <f t="shared" si="3"/>
        <v>18.333333333333336</v>
      </c>
    </row>
    <row r="226" spans="1:6" x14ac:dyDescent="0.35">
      <c r="A226" t="str">
        <f>'Bike Stations'!A226</f>
        <v>Mortonhall Park Drive</v>
      </c>
      <c r="B226">
        <f>VLOOKUP(A226, 'Bike Stations'!$A$2:$B226, 2, FALSE) * VLOOKUP("Weekly", 'Maintenance Activities'!$A$2:$B$5, 2, FALSE) /60</f>
        <v>0</v>
      </c>
      <c r="C226">
        <f>VLOOKUP(A226, 'Bike Stations'!$A$2:$B$255, 2, FALSE) * VLOOKUP("Monthly", 'Maintenance Activities'!$A$2:$B$5, 2, FALSE) /60</f>
        <v>0</v>
      </c>
      <c r="D226">
        <f>VLOOKUP(A226, 'Bike Stations'!$A$2:$B$255, 2, FALSE) * VLOOKUP("Biannual", 'Maintenance Activities'!$A$2:$B$5, 2, FALSE) / 60</f>
        <v>0</v>
      </c>
      <c r="E226">
        <f>VLOOKUP(A226, 'Bike Stations'!$A$2:$B$255, 2, FALSE) * VLOOKUP("Annual", 'Maintenance Activities'!$A$2:$B$5, 2, FALSE) / 60</f>
        <v>0</v>
      </c>
      <c r="F226" s="5">
        <f t="shared" si="3"/>
        <v>0</v>
      </c>
    </row>
    <row r="227" spans="1:6" x14ac:dyDescent="0.35">
      <c r="A227" t="str">
        <f>'Bike Stations'!A227</f>
        <v>Oxgangs Terrace</v>
      </c>
      <c r="B227">
        <f>VLOOKUP(A227, 'Bike Stations'!$A$2:$B227, 2, FALSE) * VLOOKUP("Weekly", 'Maintenance Activities'!$A$2:$B$5, 2, FALSE) /60</f>
        <v>0</v>
      </c>
      <c r="C227">
        <f>VLOOKUP(A227, 'Bike Stations'!$A$2:$B$255, 2, FALSE) * VLOOKUP("Monthly", 'Maintenance Activities'!$A$2:$B$5, 2, FALSE) /60</f>
        <v>0</v>
      </c>
      <c r="D227">
        <f>VLOOKUP(A227, 'Bike Stations'!$A$2:$B$255, 2, FALSE) * VLOOKUP("Biannual", 'Maintenance Activities'!$A$2:$B$5, 2, FALSE) / 60</f>
        <v>0</v>
      </c>
      <c r="E227">
        <f>VLOOKUP(A227, 'Bike Stations'!$A$2:$B$255, 2, FALSE) * VLOOKUP("Annual", 'Maintenance Activities'!$A$2:$B$5, 2, FALSE) / 60</f>
        <v>0</v>
      </c>
      <c r="F227" s="5">
        <f t="shared" si="3"/>
        <v>0</v>
      </c>
    </row>
    <row r="228" spans="1:6" x14ac:dyDescent="0.35">
      <c r="A228" t="str">
        <f>'Bike Stations'!A228</f>
        <v>Glimerton Dykes Road</v>
      </c>
      <c r="B228">
        <f>VLOOKUP(A228, 'Bike Stations'!$A$2:$B228, 2, FALSE) * VLOOKUP("Weekly", 'Maintenance Activities'!$A$2:$B$5, 2, FALSE) /60</f>
        <v>0</v>
      </c>
      <c r="C228">
        <f>VLOOKUP(A228, 'Bike Stations'!$A$2:$B$255, 2, FALSE) * VLOOKUP("Monthly", 'Maintenance Activities'!$A$2:$B$5, 2, FALSE) /60</f>
        <v>0</v>
      </c>
      <c r="D228">
        <f>VLOOKUP(A228, 'Bike Stations'!$A$2:$B$255, 2, FALSE) * VLOOKUP("Biannual", 'Maintenance Activities'!$A$2:$B$5, 2, FALSE) / 60</f>
        <v>0</v>
      </c>
      <c r="E228">
        <f>VLOOKUP(A228, 'Bike Stations'!$A$2:$B$255, 2, FALSE) * VLOOKUP("Annual", 'Maintenance Activities'!$A$2:$B$5, 2, FALSE) / 60</f>
        <v>0</v>
      </c>
      <c r="F228" s="5">
        <f t="shared" si="3"/>
        <v>0</v>
      </c>
    </row>
    <row r="229" spans="1:6" x14ac:dyDescent="0.35">
      <c r="A229" t="str">
        <f>'Bike Stations'!A229</f>
        <v>Grange Loan</v>
      </c>
      <c r="B229">
        <f>VLOOKUP(A229, 'Bike Stations'!$A$2:$B229, 2, FALSE) * VLOOKUP("Weekly", 'Maintenance Activities'!$A$2:$B$5, 2, FALSE) /60</f>
        <v>1</v>
      </c>
      <c r="C229">
        <f>VLOOKUP(A229, 'Bike Stations'!$A$2:$B$255, 2, FALSE) * VLOOKUP("Monthly", 'Maintenance Activities'!$A$2:$B$5, 2, FALSE) /60</f>
        <v>3</v>
      </c>
      <c r="D229">
        <f>VLOOKUP(A229, 'Bike Stations'!$A$2:$B$255, 2, FALSE) * VLOOKUP("Biannual", 'Maintenance Activities'!$A$2:$B$5, 2, FALSE) / 60</f>
        <v>6</v>
      </c>
      <c r="E229">
        <f>VLOOKUP(A229, 'Bike Stations'!$A$2:$B$255, 2, FALSE) * VLOOKUP("Annual", 'Maintenance Activities'!$A$2:$B$5, 2, FALSE) / 60</f>
        <v>12</v>
      </c>
      <c r="F229" s="5">
        <f t="shared" si="3"/>
        <v>22</v>
      </c>
    </row>
    <row r="230" spans="1:6" x14ac:dyDescent="0.35">
      <c r="A230" t="str">
        <f>'Bike Stations'!A230</f>
        <v>Dalymple</v>
      </c>
      <c r="B230">
        <f>VLOOKUP(A230, 'Bike Stations'!$A$2:$B230, 2, FALSE) * VLOOKUP("Weekly", 'Maintenance Activities'!$A$2:$B$5, 2, FALSE) /60</f>
        <v>0</v>
      </c>
      <c r="C230">
        <f>VLOOKUP(A230, 'Bike Stations'!$A$2:$B$255, 2, FALSE) * VLOOKUP("Monthly", 'Maintenance Activities'!$A$2:$B$5, 2, FALSE) /60</f>
        <v>0</v>
      </c>
      <c r="D230">
        <f>VLOOKUP(A230, 'Bike Stations'!$A$2:$B$255, 2, FALSE) * VLOOKUP("Biannual", 'Maintenance Activities'!$A$2:$B$5, 2, FALSE) / 60</f>
        <v>0</v>
      </c>
      <c r="E230">
        <f>VLOOKUP(A230, 'Bike Stations'!$A$2:$B$255, 2, FALSE) * VLOOKUP("Annual", 'Maintenance Activities'!$A$2:$B$5, 2, FALSE) / 60</f>
        <v>0</v>
      </c>
      <c r="F230" s="5">
        <f t="shared" si="3"/>
        <v>0</v>
      </c>
    </row>
    <row r="231" spans="1:6" x14ac:dyDescent="0.35">
      <c r="A231" t="str">
        <f>'Bike Stations'!A231</f>
        <v>North Junction Street</v>
      </c>
      <c r="B231">
        <f>VLOOKUP(A231, 'Bike Stations'!$A$2:$B231, 2, FALSE) * VLOOKUP("Weekly", 'Maintenance Activities'!$A$2:$B$5, 2, FALSE) /60</f>
        <v>9.1666666666666661</v>
      </c>
      <c r="C231">
        <f>VLOOKUP(A231, 'Bike Stations'!$A$2:$B$255, 2, FALSE) * VLOOKUP("Monthly", 'Maintenance Activities'!$A$2:$B$5, 2, FALSE) /60</f>
        <v>27.5</v>
      </c>
      <c r="D231">
        <f>VLOOKUP(A231, 'Bike Stations'!$A$2:$B$255, 2, FALSE) * VLOOKUP("Biannual", 'Maintenance Activities'!$A$2:$B$5, 2, FALSE) / 60</f>
        <v>55</v>
      </c>
      <c r="E231">
        <f>VLOOKUP(A231, 'Bike Stations'!$A$2:$B$255, 2, FALSE) * VLOOKUP("Annual", 'Maintenance Activities'!$A$2:$B$5, 2, FALSE) / 60</f>
        <v>110</v>
      </c>
      <c r="F231" s="5">
        <f t="shared" si="3"/>
        <v>201.66666666666666</v>
      </c>
    </row>
    <row r="232" spans="1:6" x14ac:dyDescent="0.35">
      <c r="A232" t="str">
        <f>'Bike Stations'!A232</f>
        <v>Colinton Road</v>
      </c>
      <c r="B232">
        <f>VLOOKUP(A232, 'Bike Stations'!$A$2:$B232, 2, FALSE) * VLOOKUP("Weekly", 'Maintenance Activities'!$A$2:$B$5, 2, FALSE) /60</f>
        <v>9.1666666666666661</v>
      </c>
      <c r="C232">
        <f>VLOOKUP(A232, 'Bike Stations'!$A$2:$B$255, 2, FALSE) * VLOOKUP("Monthly", 'Maintenance Activities'!$A$2:$B$5, 2, FALSE) /60</f>
        <v>27.5</v>
      </c>
      <c r="D232">
        <f>VLOOKUP(A232, 'Bike Stations'!$A$2:$B$255, 2, FALSE) * VLOOKUP("Biannual", 'Maintenance Activities'!$A$2:$B$5, 2, FALSE) / 60</f>
        <v>55</v>
      </c>
      <c r="E232">
        <f>VLOOKUP(A232, 'Bike Stations'!$A$2:$B$255, 2, FALSE) * VLOOKUP("Annual", 'Maintenance Activities'!$A$2:$B$5, 2, FALSE) / 60</f>
        <v>110</v>
      </c>
      <c r="F232" s="5">
        <f t="shared" si="3"/>
        <v>201.66666666666666</v>
      </c>
    </row>
    <row r="233" spans="1:6" x14ac:dyDescent="0.35">
      <c r="A233" t="str">
        <f>'Bike Stations'!A233</f>
        <v>King's Gate</v>
      </c>
      <c r="B233">
        <f>VLOOKUP(A233, 'Bike Stations'!$A$2:$B233, 2, FALSE) * VLOOKUP("Weekly", 'Maintenance Activities'!$A$2:$B$5, 2, FALSE) /60</f>
        <v>0</v>
      </c>
      <c r="C233">
        <f>VLOOKUP(A233, 'Bike Stations'!$A$2:$B$255, 2, FALSE) * VLOOKUP("Monthly", 'Maintenance Activities'!$A$2:$B$5, 2, FALSE) /60</f>
        <v>0</v>
      </c>
      <c r="D233">
        <f>VLOOKUP(A233, 'Bike Stations'!$A$2:$B$255, 2, FALSE) * VLOOKUP("Biannual", 'Maintenance Activities'!$A$2:$B$5, 2, FALSE) / 60</f>
        <v>0</v>
      </c>
      <c r="E233">
        <f>VLOOKUP(A233, 'Bike Stations'!$A$2:$B$255, 2, FALSE) * VLOOKUP("Annual", 'Maintenance Activities'!$A$2:$B$5, 2, FALSE) / 60</f>
        <v>0</v>
      </c>
      <c r="F233" s="5">
        <f t="shared" si="3"/>
        <v>0</v>
      </c>
    </row>
    <row r="234" spans="1:6" x14ac:dyDescent="0.35">
      <c r="A234" t="str">
        <f>'Bike Stations'!A234</f>
        <v>Woodburn Drive</v>
      </c>
      <c r="B234">
        <f>VLOOKUP(A234, 'Bike Stations'!$A$2:$B234, 2, FALSE) * VLOOKUP("Weekly", 'Maintenance Activities'!$A$2:$B$5, 2, FALSE) /60</f>
        <v>0</v>
      </c>
      <c r="C234">
        <f>VLOOKUP(A234, 'Bike Stations'!$A$2:$B$255, 2, FALSE) * VLOOKUP("Monthly", 'Maintenance Activities'!$A$2:$B$5, 2, FALSE) /60</f>
        <v>0</v>
      </c>
      <c r="D234">
        <f>VLOOKUP(A234, 'Bike Stations'!$A$2:$B$255, 2, FALSE) * VLOOKUP("Biannual", 'Maintenance Activities'!$A$2:$B$5, 2, FALSE) / 60</f>
        <v>0</v>
      </c>
      <c r="E234">
        <f>VLOOKUP(A234, 'Bike Stations'!$A$2:$B$255, 2, FALSE) * VLOOKUP("Annual", 'Maintenance Activities'!$A$2:$B$5, 2, FALSE) / 60</f>
        <v>0</v>
      </c>
      <c r="F234" s="5">
        <f t="shared" si="3"/>
        <v>0</v>
      </c>
    </row>
    <row r="235" spans="1:6" x14ac:dyDescent="0.35">
      <c r="A235" t="str">
        <f>'Bike Stations'!A235</f>
        <v>Duart Crescent</v>
      </c>
      <c r="B235">
        <f>VLOOKUP(A235, 'Bike Stations'!$A$2:$B235, 2, FALSE) * VLOOKUP("Weekly", 'Maintenance Activities'!$A$2:$B$5, 2, FALSE) /60</f>
        <v>0</v>
      </c>
      <c r="C235">
        <f>VLOOKUP(A235, 'Bike Stations'!$A$2:$B$255, 2, FALSE) * VLOOKUP("Monthly", 'Maintenance Activities'!$A$2:$B$5, 2, FALSE) /60</f>
        <v>0</v>
      </c>
      <c r="D235">
        <f>VLOOKUP(A235, 'Bike Stations'!$A$2:$B$255, 2, FALSE) * VLOOKUP("Biannual", 'Maintenance Activities'!$A$2:$B$5, 2, FALSE) / 60</f>
        <v>0</v>
      </c>
      <c r="E235">
        <f>VLOOKUP(A235, 'Bike Stations'!$A$2:$B$255, 2, FALSE) * VLOOKUP("Annual", 'Maintenance Activities'!$A$2:$B$5, 2, FALSE) / 60</f>
        <v>0</v>
      </c>
      <c r="F235" s="5">
        <f t="shared" si="3"/>
        <v>0</v>
      </c>
    </row>
    <row r="236" spans="1:6" x14ac:dyDescent="0.35">
      <c r="A236" t="str">
        <f>'Bike Stations'!A236</f>
        <v>The Squircle</v>
      </c>
      <c r="B236">
        <f>VLOOKUP(A236, 'Bike Stations'!$A$2:$B236, 2, FALSE) * VLOOKUP("Weekly", 'Maintenance Activities'!$A$2:$B$5, 2, FALSE) /60</f>
        <v>9.1666666666666661</v>
      </c>
      <c r="C236">
        <f>VLOOKUP(A236, 'Bike Stations'!$A$2:$B$255, 2, FALSE) * VLOOKUP("Monthly", 'Maintenance Activities'!$A$2:$B$5, 2, FALSE) /60</f>
        <v>27.5</v>
      </c>
      <c r="D236">
        <f>VLOOKUP(A236, 'Bike Stations'!$A$2:$B$255, 2, FALSE) * VLOOKUP("Biannual", 'Maintenance Activities'!$A$2:$B$5, 2, FALSE) / 60</f>
        <v>55</v>
      </c>
      <c r="E236">
        <f>VLOOKUP(A236, 'Bike Stations'!$A$2:$B$255, 2, FALSE) * VLOOKUP("Annual", 'Maintenance Activities'!$A$2:$B$5, 2, FALSE) / 60</f>
        <v>110</v>
      </c>
      <c r="F236" s="5">
        <f t="shared" si="3"/>
        <v>201.66666666666666</v>
      </c>
    </row>
    <row r="237" spans="1:6" x14ac:dyDescent="0.35">
      <c r="A237" t="str">
        <f>'Bike Stations'!A237</f>
        <v>Moat Drive</v>
      </c>
      <c r="B237">
        <f>VLOOKUP(A237, 'Bike Stations'!$A$2:$B237, 2, FALSE) * VLOOKUP("Weekly", 'Maintenance Activities'!$A$2:$B$5, 2, FALSE) /60</f>
        <v>0</v>
      </c>
      <c r="C237">
        <f>VLOOKUP(A237, 'Bike Stations'!$A$2:$B$255, 2, FALSE) * VLOOKUP("Monthly", 'Maintenance Activities'!$A$2:$B$5, 2, FALSE) /60</f>
        <v>0</v>
      </c>
      <c r="D237">
        <f>VLOOKUP(A237, 'Bike Stations'!$A$2:$B$255, 2, FALSE) * VLOOKUP("Biannual", 'Maintenance Activities'!$A$2:$B$5, 2, FALSE) / 60</f>
        <v>0</v>
      </c>
      <c r="E237">
        <f>VLOOKUP(A237, 'Bike Stations'!$A$2:$B$255, 2, FALSE) * VLOOKUP("Annual", 'Maintenance Activities'!$A$2:$B$5, 2, FALSE) / 60</f>
        <v>0</v>
      </c>
      <c r="F237" s="5">
        <f t="shared" si="3"/>
        <v>0</v>
      </c>
    </row>
    <row r="238" spans="1:6" x14ac:dyDescent="0.35">
      <c r="A238" t="str">
        <f>'Bike Stations'!A238</f>
        <v>West Crosscauseway</v>
      </c>
      <c r="B238">
        <f>VLOOKUP(A238, 'Bike Stations'!$A$2:$B238, 2, FALSE) * VLOOKUP("Weekly", 'Maintenance Activities'!$A$2:$B$5, 2, FALSE) /60</f>
        <v>9.1666666666666661</v>
      </c>
      <c r="C238">
        <f>VLOOKUP(A238, 'Bike Stations'!$A$2:$B$255, 2, FALSE) * VLOOKUP("Monthly", 'Maintenance Activities'!$A$2:$B$5, 2, FALSE) /60</f>
        <v>27.5</v>
      </c>
      <c r="D238">
        <f>VLOOKUP(A238, 'Bike Stations'!$A$2:$B$255, 2, FALSE) * VLOOKUP("Biannual", 'Maintenance Activities'!$A$2:$B$5, 2, FALSE) / 60</f>
        <v>55</v>
      </c>
      <c r="E238">
        <f>VLOOKUP(A238, 'Bike Stations'!$A$2:$B$255, 2, FALSE) * VLOOKUP("Annual", 'Maintenance Activities'!$A$2:$B$5, 2, FALSE) / 60</f>
        <v>110</v>
      </c>
      <c r="F238" s="5">
        <f t="shared" si="3"/>
        <v>201.66666666666666</v>
      </c>
    </row>
    <row r="239" spans="1:6" x14ac:dyDescent="0.35">
      <c r="A239" t="str">
        <f>'Bike Stations'!A239</f>
        <v>Broughton Street</v>
      </c>
      <c r="B239">
        <f>VLOOKUP(A239, 'Bike Stations'!$A$2:$B239, 2, FALSE) * VLOOKUP("Weekly", 'Maintenance Activities'!$A$2:$B$5, 2, FALSE) /60</f>
        <v>9.1666666666666661</v>
      </c>
      <c r="C239">
        <f>VLOOKUP(A239, 'Bike Stations'!$A$2:$B$255, 2, FALSE) * VLOOKUP("Monthly", 'Maintenance Activities'!$A$2:$B$5, 2, FALSE) /60</f>
        <v>27.5</v>
      </c>
      <c r="D239">
        <f>VLOOKUP(A239, 'Bike Stations'!$A$2:$B$255, 2, FALSE) * VLOOKUP("Biannual", 'Maintenance Activities'!$A$2:$B$5, 2, FALSE) / 60</f>
        <v>55</v>
      </c>
      <c r="E239">
        <f>VLOOKUP(A239, 'Bike Stations'!$A$2:$B$255, 2, FALSE) * VLOOKUP("Annual", 'Maintenance Activities'!$A$2:$B$5, 2, FALSE) / 60</f>
        <v>110</v>
      </c>
      <c r="F239" s="5">
        <f t="shared" si="3"/>
        <v>201.66666666666666</v>
      </c>
    </row>
    <row r="240" spans="1:6" x14ac:dyDescent="0.35">
      <c r="A240" t="str">
        <f>'Bike Stations'!A240</f>
        <v>Liberton Road</v>
      </c>
      <c r="B240">
        <f>VLOOKUP(A240, 'Bike Stations'!$A$2:$B240, 2, FALSE) * VLOOKUP("Weekly", 'Maintenance Activities'!$A$2:$B$5, 2, FALSE) /60</f>
        <v>9.1666666666666661</v>
      </c>
      <c r="C240">
        <f>VLOOKUP(A240, 'Bike Stations'!$A$2:$B$255, 2, FALSE) * VLOOKUP("Monthly", 'Maintenance Activities'!$A$2:$B$5, 2, FALSE) /60</f>
        <v>27.5</v>
      </c>
      <c r="D240">
        <f>VLOOKUP(A240, 'Bike Stations'!$A$2:$B$255, 2, FALSE) * VLOOKUP("Biannual", 'Maintenance Activities'!$A$2:$B$5, 2, FALSE) / 60</f>
        <v>55</v>
      </c>
      <c r="E240">
        <f>VLOOKUP(A240, 'Bike Stations'!$A$2:$B$255, 2, FALSE) * VLOOKUP("Annual", 'Maintenance Activities'!$A$2:$B$5, 2, FALSE) / 60</f>
        <v>110</v>
      </c>
      <c r="F240" s="5">
        <f t="shared" si="3"/>
        <v>201.66666666666666</v>
      </c>
    </row>
    <row r="241" spans="1:6" x14ac:dyDescent="0.35">
      <c r="A241" t="str">
        <f>'Bike Stations'!A241</f>
        <v>Northumberland Street</v>
      </c>
      <c r="B241">
        <f>VLOOKUP(A241, 'Bike Stations'!$A$2:$B241, 2, FALSE) * VLOOKUP("Weekly", 'Maintenance Activities'!$A$2:$B$5, 2, FALSE) /60</f>
        <v>9.1666666666666661</v>
      </c>
      <c r="C241">
        <f>VLOOKUP(A241, 'Bike Stations'!$A$2:$B$255, 2, FALSE) * VLOOKUP("Monthly", 'Maintenance Activities'!$A$2:$B$5, 2, FALSE) /60</f>
        <v>27.5</v>
      </c>
      <c r="D241">
        <f>VLOOKUP(A241, 'Bike Stations'!$A$2:$B$255, 2, FALSE) * VLOOKUP("Biannual", 'Maintenance Activities'!$A$2:$B$5, 2, FALSE) / 60</f>
        <v>55</v>
      </c>
      <c r="E241">
        <f>VLOOKUP(A241, 'Bike Stations'!$A$2:$B$255, 2, FALSE) * VLOOKUP("Annual", 'Maintenance Activities'!$A$2:$B$5, 2, FALSE) / 60</f>
        <v>110</v>
      </c>
      <c r="F241" s="5">
        <f t="shared" si="3"/>
        <v>201.66666666666666</v>
      </c>
    </row>
    <row r="242" spans="1:6" x14ac:dyDescent="0.35">
      <c r="A242" t="str">
        <f>'Bike Stations'!A242</f>
        <v>Drum Brae Drive</v>
      </c>
      <c r="B242">
        <f>VLOOKUP(A242, 'Bike Stations'!$A$2:$B242, 2, FALSE) * VLOOKUP("Weekly", 'Maintenance Activities'!$A$2:$B$5, 2, FALSE) /60</f>
        <v>0</v>
      </c>
      <c r="C242">
        <f>VLOOKUP(A242, 'Bike Stations'!$A$2:$B$255, 2, FALSE) * VLOOKUP("Monthly", 'Maintenance Activities'!$A$2:$B$5, 2, FALSE) /60</f>
        <v>0</v>
      </c>
      <c r="D242">
        <f>VLOOKUP(A242, 'Bike Stations'!$A$2:$B$255, 2, FALSE) * VLOOKUP("Biannual", 'Maintenance Activities'!$A$2:$B$5, 2, FALSE) / 60</f>
        <v>0</v>
      </c>
      <c r="E242">
        <f>VLOOKUP(A242, 'Bike Stations'!$A$2:$B$255, 2, FALSE) * VLOOKUP("Annual", 'Maintenance Activities'!$A$2:$B$5, 2, FALSE) / 60</f>
        <v>0</v>
      </c>
      <c r="F242" s="5">
        <f t="shared" si="3"/>
        <v>0</v>
      </c>
    </row>
    <row r="243" spans="1:6" x14ac:dyDescent="0.35">
      <c r="A243" t="str">
        <f>'Bike Stations'!A243</f>
        <v>Newcraighall Road</v>
      </c>
      <c r="B243">
        <f>VLOOKUP(A243, 'Bike Stations'!$A$2:$B243, 2, FALSE) * VLOOKUP("Weekly", 'Maintenance Activities'!$A$2:$B$5, 2, FALSE) /60</f>
        <v>0</v>
      </c>
      <c r="C243">
        <f>VLOOKUP(A243, 'Bike Stations'!$A$2:$B$255, 2, FALSE) * VLOOKUP("Monthly", 'Maintenance Activities'!$A$2:$B$5, 2, FALSE) /60</f>
        <v>0</v>
      </c>
      <c r="D243">
        <f>VLOOKUP(A243, 'Bike Stations'!$A$2:$B$255, 2, FALSE) * VLOOKUP("Biannual", 'Maintenance Activities'!$A$2:$B$5, 2, FALSE) / 60</f>
        <v>0</v>
      </c>
      <c r="E243">
        <f>VLOOKUP(A243, 'Bike Stations'!$A$2:$B$255, 2, FALSE) * VLOOKUP("Annual", 'Maintenance Activities'!$A$2:$B$5, 2, FALSE) / 60</f>
        <v>0</v>
      </c>
      <c r="F243" s="5">
        <f t="shared" si="3"/>
        <v>0</v>
      </c>
    </row>
    <row r="244" spans="1:6" x14ac:dyDescent="0.35">
      <c r="A244" t="str">
        <f>'Bike Stations'!A244</f>
        <v>Pentland Primary School</v>
      </c>
      <c r="B244">
        <f>VLOOKUP(A244, 'Bike Stations'!$A$2:$B244, 2, FALSE) * VLOOKUP("Weekly", 'Maintenance Activities'!$A$2:$B$5, 2, FALSE) /60</f>
        <v>0</v>
      </c>
      <c r="C244">
        <f>VLOOKUP(A244, 'Bike Stations'!$A$2:$B$255, 2, FALSE) * VLOOKUP("Monthly", 'Maintenance Activities'!$A$2:$B$5, 2, FALSE) /60</f>
        <v>0</v>
      </c>
      <c r="D244">
        <f>VLOOKUP(A244, 'Bike Stations'!$A$2:$B$255, 2, FALSE) * VLOOKUP("Biannual", 'Maintenance Activities'!$A$2:$B$5, 2, FALSE) / 60</f>
        <v>0</v>
      </c>
      <c r="E244">
        <f>VLOOKUP(A244, 'Bike Stations'!$A$2:$B$255, 2, FALSE) * VLOOKUP("Annual", 'Maintenance Activities'!$A$2:$B$5, 2, FALSE) / 60</f>
        <v>0</v>
      </c>
      <c r="F244" s="5">
        <f t="shared" si="3"/>
        <v>0</v>
      </c>
    </row>
    <row r="245" spans="1:6" x14ac:dyDescent="0.35">
      <c r="A245" t="str">
        <f>'Bike Stations'!A245</f>
        <v>Gilmerton Road</v>
      </c>
      <c r="B245">
        <f>VLOOKUP(A245, 'Bike Stations'!$A$2:$B245, 2, FALSE) * VLOOKUP("Weekly", 'Maintenance Activities'!$A$2:$B$5, 2, FALSE) /60</f>
        <v>0.83333333333333337</v>
      </c>
      <c r="C245">
        <f>VLOOKUP(A245, 'Bike Stations'!$A$2:$B$255, 2, FALSE) * VLOOKUP("Monthly", 'Maintenance Activities'!$A$2:$B$5, 2, FALSE) /60</f>
        <v>2.5</v>
      </c>
      <c r="D245">
        <f>VLOOKUP(A245, 'Bike Stations'!$A$2:$B$255, 2, FALSE) * VLOOKUP("Biannual", 'Maintenance Activities'!$A$2:$B$5, 2, FALSE) / 60</f>
        <v>5</v>
      </c>
      <c r="E245">
        <f>VLOOKUP(A245, 'Bike Stations'!$A$2:$B$255, 2, FALSE) * VLOOKUP("Annual", 'Maintenance Activities'!$A$2:$B$5, 2, FALSE) / 60</f>
        <v>10</v>
      </c>
      <c r="F245" s="5">
        <f t="shared" si="3"/>
        <v>18.333333333333336</v>
      </c>
    </row>
    <row r="246" spans="1:6" x14ac:dyDescent="0.35">
      <c r="A246" t="str">
        <f>'Bike Stations'!A246</f>
        <v>Magdalene Avenue</v>
      </c>
      <c r="B246">
        <f>VLOOKUP(A246, 'Bike Stations'!$A$2:$B246, 2, FALSE) * VLOOKUP("Weekly", 'Maintenance Activities'!$A$2:$B$5, 2, FALSE) /60</f>
        <v>0</v>
      </c>
      <c r="C246">
        <f>VLOOKUP(A246, 'Bike Stations'!$A$2:$B$255, 2, FALSE) * VLOOKUP("Monthly", 'Maintenance Activities'!$A$2:$B$5, 2, FALSE) /60</f>
        <v>0</v>
      </c>
      <c r="D246">
        <f>VLOOKUP(A246, 'Bike Stations'!$A$2:$B$255, 2, FALSE) * VLOOKUP("Biannual", 'Maintenance Activities'!$A$2:$B$5, 2, FALSE) / 60</f>
        <v>0</v>
      </c>
      <c r="E246">
        <f>VLOOKUP(A246, 'Bike Stations'!$A$2:$B$255, 2, FALSE) * VLOOKUP("Annual", 'Maintenance Activities'!$A$2:$B$5, 2, FALSE) / 60</f>
        <v>0</v>
      </c>
      <c r="F246" s="5">
        <f t="shared" si="3"/>
        <v>0</v>
      </c>
    </row>
    <row r="247" spans="1:6" x14ac:dyDescent="0.35">
      <c r="A247" t="str">
        <f>'Bike Stations'!A247</f>
        <v>Mayfield Terrace</v>
      </c>
      <c r="B247">
        <f>VLOOKUP(A247, 'Bike Stations'!$A$2:$B247, 2, FALSE) * VLOOKUP("Weekly", 'Maintenance Activities'!$A$2:$B$5, 2, FALSE) /60</f>
        <v>0</v>
      </c>
      <c r="C247">
        <f>VLOOKUP(A247, 'Bike Stations'!$A$2:$B$255, 2, FALSE) * VLOOKUP("Monthly", 'Maintenance Activities'!$A$2:$B$5, 2, FALSE) /60</f>
        <v>0</v>
      </c>
      <c r="D247">
        <f>VLOOKUP(A247, 'Bike Stations'!$A$2:$B$255, 2, FALSE) * VLOOKUP("Biannual", 'Maintenance Activities'!$A$2:$B$5, 2, FALSE) / 60</f>
        <v>0</v>
      </c>
      <c r="E247">
        <f>VLOOKUP(A247, 'Bike Stations'!$A$2:$B$255, 2, FALSE) * VLOOKUP("Annual", 'Maintenance Activities'!$A$2:$B$5, 2, FALSE) / 60</f>
        <v>0</v>
      </c>
      <c r="F247" s="5">
        <f t="shared" si="3"/>
        <v>0</v>
      </c>
    </row>
    <row r="248" spans="1:6" x14ac:dyDescent="0.35">
      <c r="A248" t="str">
        <f>'Bike Stations'!A248</f>
        <v>Pilrig Street</v>
      </c>
      <c r="B248">
        <f>VLOOKUP(A248, 'Bike Stations'!$A$2:$B248, 2, FALSE) * VLOOKUP("Weekly", 'Maintenance Activities'!$A$2:$B$5, 2, FALSE) /60</f>
        <v>9.1666666666666661</v>
      </c>
      <c r="C248">
        <f>VLOOKUP(A248, 'Bike Stations'!$A$2:$B$255, 2, FALSE) * VLOOKUP("Monthly", 'Maintenance Activities'!$A$2:$B$5, 2, FALSE) /60</f>
        <v>27.5</v>
      </c>
      <c r="D248">
        <f>VLOOKUP(A248, 'Bike Stations'!$A$2:$B$255, 2, FALSE) * VLOOKUP("Biannual", 'Maintenance Activities'!$A$2:$B$5, 2, FALSE) / 60</f>
        <v>55</v>
      </c>
      <c r="E248">
        <f>VLOOKUP(A248, 'Bike Stations'!$A$2:$B$255, 2, FALSE) * VLOOKUP("Annual", 'Maintenance Activities'!$A$2:$B$5, 2, FALSE) / 60</f>
        <v>110</v>
      </c>
      <c r="F248" s="5">
        <f t="shared" si="3"/>
        <v>201.66666666666666</v>
      </c>
    </row>
    <row r="249" spans="1:6" x14ac:dyDescent="0.35">
      <c r="A249" t="str">
        <f>'Bike Stations'!A249</f>
        <v>Hillview Crescent</v>
      </c>
      <c r="B249">
        <f>VLOOKUP(A249, 'Bike Stations'!$A$2:$B249, 2, FALSE) * VLOOKUP("Weekly", 'Maintenance Activities'!$A$2:$B$5, 2, FALSE) /60</f>
        <v>0.83333333333333337</v>
      </c>
      <c r="C249">
        <f>VLOOKUP(A249, 'Bike Stations'!$A$2:$B$255, 2, FALSE) * VLOOKUP("Monthly", 'Maintenance Activities'!$A$2:$B$5, 2, FALSE) /60</f>
        <v>2.5</v>
      </c>
      <c r="D249">
        <f>VLOOKUP(A249, 'Bike Stations'!$A$2:$B$255, 2, FALSE) * VLOOKUP("Biannual", 'Maintenance Activities'!$A$2:$B$5, 2, FALSE) / 60</f>
        <v>5</v>
      </c>
      <c r="E249">
        <f>VLOOKUP(A249, 'Bike Stations'!$A$2:$B$255, 2, FALSE) * VLOOKUP("Annual", 'Maintenance Activities'!$A$2:$B$5, 2, FALSE) / 60</f>
        <v>10</v>
      </c>
      <c r="F249" s="5">
        <f t="shared" si="3"/>
        <v>18.333333333333336</v>
      </c>
    </row>
    <row r="250" spans="1:6" x14ac:dyDescent="0.35">
      <c r="A250" t="str">
        <f>'Bike Stations'!A250</f>
        <v>Southview Road East</v>
      </c>
      <c r="B250">
        <f>VLOOKUP(A250, 'Bike Stations'!$A$2:$B250, 2, FALSE) * VLOOKUP("Weekly", 'Maintenance Activities'!$A$2:$B$5, 2, FALSE) /60</f>
        <v>0.83333333333333337</v>
      </c>
      <c r="C250">
        <f>VLOOKUP(A250, 'Bike Stations'!$A$2:$B$255, 2, FALSE) * VLOOKUP("Monthly", 'Maintenance Activities'!$A$2:$B$5, 2, FALSE) /60</f>
        <v>2.5</v>
      </c>
      <c r="D250">
        <f>VLOOKUP(A250, 'Bike Stations'!$A$2:$B$255, 2, FALSE) * VLOOKUP("Biannual", 'Maintenance Activities'!$A$2:$B$5, 2, FALSE) / 60</f>
        <v>5</v>
      </c>
      <c r="E250">
        <f>VLOOKUP(A250, 'Bike Stations'!$A$2:$B$255, 2, FALSE) * VLOOKUP("Annual", 'Maintenance Activities'!$A$2:$B$5, 2, FALSE) / 60</f>
        <v>10</v>
      </c>
      <c r="F250" s="5">
        <f t="shared" si="3"/>
        <v>18.333333333333336</v>
      </c>
    </row>
    <row r="251" spans="1:6" x14ac:dyDescent="0.35">
      <c r="A251" t="str">
        <f>'Bike Stations'!A251</f>
        <v>Caiystane Crescent</v>
      </c>
      <c r="B251">
        <f>VLOOKUP(A251, 'Bike Stations'!$A$2:$B251, 2, FALSE) * VLOOKUP("Weekly", 'Maintenance Activities'!$A$2:$B$5, 2, FALSE) /60</f>
        <v>0.83333333333333337</v>
      </c>
      <c r="C251">
        <f>VLOOKUP(A251, 'Bike Stations'!$A$2:$B$255, 2, FALSE) * VLOOKUP("Monthly", 'Maintenance Activities'!$A$2:$B$5, 2, FALSE) /60</f>
        <v>2.5</v>
      </c>
      <c r="D251">
        <f>VLOOKUP(A251, 'Bike Stations'!$A$2:$B$255, 2, FALSE) * VLOOKUP("Biannual", 'Maintenance Activities'!$A$2:$B$5, 2, FALSE) / 60</f>
        <v>5</v>
      </c>
      <c r="E251">
        <f>VLOOKUP(A251, 'Bike Stations'!$A$2:$B$255, 2, FALSE) * VLOOKUP("Annual", 'Maintenance Activities'!$A$2:$B$5, 2, FALSE) / 60</f>
        <v>10</v>
      </c>
      <c r="F251" s="5">
        <f t="shared" si="3"/>
        <v>18.333333333333336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3D5C5-2C2C-4154-8E8C-693FA3406740}">
  <dimension ref="A1:F7"/>
  <sheetViews>
    <sheetView workbookViewId="0">
      <selection activeCell="B3" sqref="B3"/>
    </sheetView>
  </sheetViews>
  <sheetFormatPr defaultRowHeight="14.5" x14ac:dyDescent="0.35"/>
  <cols>
    <col min="1" max="1" width="21.90625" bestFit="1" customWidth="1"/>
    <col min="2" max="2" width="13.1796875" bestFit="1" customWidth="1"/>
    <col min="3" max="3" width="13.81640625" bestFit="1" customWidth="1"/>
    <col min="4" max="4" width="14.54296875" bestFit="1" customWidth="1"/>
    <col min="5" max="5" width="13" bestFit="1" customWidth="1"/>
    <col min="6" max="6" width="22.6328125" bestFit="1" customWidth="1"/>
  </cols>
  <sheetData>
    <row r="1" spans="1:6" ht="43.5" x14ac:dyDescent="0.35">
      <c r="A1" s="6" t="s">
        <v>10</v>
      </c>
      <c r="B1" s="7" t="s">
        <v>12</v>
      </c>
      <c r="C1" s="7" t="s">
        <v>13</v>
      </c>
      <c r="D1" s="7" t="s">
        <v>14</v>
      </c>
      <c r="E1" s="7" t="s">
        <v>15</v>
      </c>
      <c r="F1" s="7" t="s">
        <v>16</v>
      </c>
    </row>
    <row r="2" spans="1:6" x14ac:dyDescent="0.35">
      <c r="A2" s="4" t="s">
        <v>106</v>
      </c>
      <c r="B2" s="11">
        <v>3.3333333333333335</v>
      </c>
      <c r="C2" s="11">
        <v>10</v>
      </c>
      <c r="D2" s="11">
        <v>20</v>
      </c>
      <c r="E2" s="11">
        <v>40</v>
      </c>
      <c r="F2" s="5">
        <v>73.333333333333343</v>
      </c>
    </row>
    <row r="3" spans="1:6" x14ac:dyDescent="0.35">
      <c r="A3" s="4" t="s">
        <v>65</v>
      </c>
      <c r="B3" s="11">
        <v>3.3333333333333335</v>
      </c>
      <c r="C3" s="11">
        <v>10</v>
      </c>
      <c r="D3" s="11">
        <v>20</v>
      </c>
      <c r="E3" s="11">
        <v>40</v>
      </c>
      <c r="F3" s="5">
        <v>73.333333333333343</v>
      </c>
    </row>
    <row r="4" spans="1:6" x14ac:dyDescent="0.35">
      <c r="A4" s="4" t="s">
        <v>89</v>
      </c>
      <c r="B4" s="11">
        <v>5</v>
      </c>
      <c r="C4" s="11">
        <v>15</v>
      </c>
      <c r="D4" s="11">
        <v>30</v>
      </c>
      <c r="E4" s="11">
        <v>60</v>
      </c>
      <c r="F4" s="5">
        <v>110</v>
      </c>
    </row>
    <row r="5" spans="1:6" x14ac:dyDescent="0.35">
      <c r="A5" s="4" t="s">
        <v>162</v>
      </c>
      <c r="B5" s="11">
        <v>3.3333333333333242</v>
      </c>
      <c r="C5" s="11">
        <v>9.9999999999999734</v>
      </c>
      <c r="D5" s="11">
        <v>19.999999999999947</v>
      </c>
      <c r="E5" s="11">
        <v>39.999999999999893</v>
      </c>
      <c r="F5" s="5">
        <v>73.333333333333144</v>
      </c>
    </row>
    <row r="6" spans="1:6" x14ac:dyDescent="0.35">
      <c r="A6" s="4" t="s">
        <v>139</v>
      </c>
      <c r="B6" s="11">
        <v>1.6666666666667613</v>
      </c>
      <c r="C6" s="11">
        <v>5.0000000000002842</v>
      </c>
      <c r="D6" s="11">
        <v>10.000000000000568</v>
      </c>
      <c r="E6" s="11">
        <v>20.000000000001137</v>
      </c>
      <c r="F6" s="5">
        <v>36.666666666668746</v>
      </c>
    </row>
    <row r="7" spans="1:6" x14ac:dyDescent="0.35">
      <c r="A7" s="4" t="s">
        <v>11</v>
      </c>
      <c r="B7" s="11">
        <v>16.666666666666753</v>
      </c>
      <c r="C7" s="11">
        <v>50.000000000000256</v>
      </c>
      <c r="D7" s="11">
        <v>100.00000000000051</v>
      </c>
      <c r="E7" s="11">
        <v>200.00000000000102</v>
      </c>
      <c r="F7" s="5">
        <v>366.66666666666856</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Bike Stations</vt:lpstr>
      <vt:lpstr>Maintenance Schedule</vt:lpstr>
      <vt:lpstr>Maintenance Activities</vt:lpstr>
      <vt:lpstr>Maintenance Calculations</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Todd House</dc:creator>
  <cp:lastModifiedBy>Todd House</cp:lastModifiedBy>
  <dcterms:created xsi:type="dcterms:W3CDTF">2025-11-03T12:16:20Z</dcterms:created>
  <dcterms:modified xsi:type="dcterms:W3CDTF">2025-11-24T15:38:04Z</dcterms:modified>
</cp:coreProperties>
</file>